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2.xml" ContentType="application/vnd.openxmlformats-officedocument.drawing+xml"/>
  <Override PartName="/xl/slicers/slicer2.xml" ContentType="application/vnd.ms-excel.slicer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4A9B9E6D-C959-491B-B2EE-A036DBF68BB8}" xr6:coauthVersionLast="47" xr6:coauthVersionMax="47" xr10:uidLastSave="{00000000-0000-0000-0000-000000000000}"/>
  <bookViews>
    <workbookView xWindow="-110" yWindow="-110" windowWidth="19420" windowHeight="10300" tabRatio="500" firstSheet="1" activeTab="3" xr2:uid="{00000000-000D-0000-FFFF-FFFF00000000}"/>
  </bookViews>
  <sheets>
    <sheet name="Base de Dados" sheetId="1" r:id="rId1"/>
    <sheet name="Tabelas Dinâmicas (Bruto)" sheetId="3" r:id="rId2"/>
    <sheet name="Consultas x Gráficos" sheetId="4" r:id="rId3"/>
    <sheet name="Dashboard" sheetId="5" r:id="rId4"/>
  </sheets>
  <definedNames>
    <definedName name="_xlnm._FilterDatabase" localSheetId="0" hidden="1">'Base de Dados'!$A$1:$K$201</definedName>
    <definedName name="SegmentaçãodeDados_Região">#N/A</definedName>
    <definedName name="SegmentaçãodeDados_Vendedor">#N/A</definedName>
    <definedName name="SegmentaçãodeDados_Vendedor1">#N/A</definedName>
  </definedNames>
  <calcPr calcId="181029" iterateDelta="1E-4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W10" i="5" l="1"/>
  <c r="AH10" i="5"/>
  <c r="S10" i="5"/>
  <c r="D10" i="5"/>
  <c r="V21" i="4"/>
  <c r="V6" i="4"/>
  <c r="V7" i="4"/>
  <c r="V8" i="4"/>
  <c r="V9" i="4"/>
  <c r="V5" i="4"/>
  <c r="V19" i="4"/>
  <c r="V17" i="4"/>
  <c r="V16" i="4"/>
  <c r="V20" i="4"/>
  <c r="V18" i="4"/>
  <c r="V15" i="4"/>
  <c r="F4" i="4"/>
  <c r="F5" i="4"/>
  <c r="F6" i="4"/>
  <c r="F7" i="4"/>
  <c r="F8" i="4"/>
  <c r="C12" i="4"/>
  <c r="B7" i="4"/>
  <c r="B8" i="4" s="1"/>
  <c r="B6" i="4"/>
  <c r="B5" i="4"/>
  <c r="B4" i="4"/>
  <c r="B3" i="4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W3" authorId="0" shapeId="0" xr:uid="{C52B116F-3BE7-46CB-BFDD-A1BDE27BBB24}">
      <text>
        <r>
          <rPr>
            <b/>
            <sz val="20"/>
            <color indexed="81"/>
            <rFont val="Segoe UI"/>
            <family val="2"/>
          </rPr>
          <t>Natan:</t>
        </r>
        <r>
          <rPr>
            <sz val="20"/>
            <color indexed="81"/>
            <rFont val="Segoe UI"/>
            <family val="2"/>
          </rPr>
          <t xml:space="preserve">
Insira o nome do vendedor para consultar.</t>
        </r>
      </text>
    </comment>
    <comment ref="V14" authorId="0" shapeId="0" xr:uid="{169B1DC3-DC9D-4A69-9615-816C8C52BAEF}">
      <text>
        <r>
          <rPr>
            <b/>
            <sz val="22"/>
            <color indexed="81"/>
            <rFont val="Segoe UI"/>
            <family val="2"/>
          </rPr>
          <t>Natan:</t>
        </r>
        <r>
          <rPr>
            <sz val="22"/>
            <color indexed="81"/>
            <rFont val="Segoe UI"/>
            <family val="2"/>
          </rPr>
          <t xml:space="preserve">
Insira o ID para consulta.</t>
        </r>
      </text>
    </comment>
  </commentList>
</comments>
</file>

<file path=xl/sharedStrings.xml><?xml version="1.0" encoding="utf-8"?>
<sst xmlns="http://schemas.openxmlformats.org/spreadsheetml/2006/main" count="1374" uniqueCount="283">
  <si>
    <t>ID Pedido</t>
  </si>
  <si>
    <t>Data</t>
  </si>
  <si>
    <t>Vendedor</t>
  </si>
  <si>
    <t>Região</t>
  </si>
  <si>
    <t>Produto</t>
  </si>
  <si>
    <t>Categoria</t>
  </si>
  <si>
    <t>Qtd</t>
  </si>
  <si>
    <t>Preço Unit (R$)</t>
  </si>
  <si>
    <t>Desconto (%)</t>
  </si>
  <si>
    <t>Total (R$)</t>
  </si>
  <si>
    <t>Status</t>
  </si>
  <si>
    <t>PED-0001</t>
  </si>
  <si>
    <t>Pedro Alves</t>
  </si>
  <si>
    <t>Sudeste</t>
  </si>
  <si>
    <t>Mouse Logitech MX</t>
  </si>
  <si>
    <t>Periféricos</t>
  </si>
  <si>
    <t>Cancelado</t>
  </si>
  <si>
    <t>PED-0002</t>
  </si>
  <si>
    <t>João Silva</t>
  </si>
  <si>
    <t>Norte</t>
  </si>
  <si>
    <t>Notebook Dell Inspiron</t>
  </si>
  <si>
    <t>Eletrônicos</t>
  </si>
  <si>
    <t>PED-0003</t>
  </si>
  <si>
    <t>Carlos Souza</t>
  </si>
  <si>
    <t>Nordeste</t>
  </si>
  <si>
    <t>Headset Sony</t>
  </si>
  <si>
    <t>Concluído</t>
  </si>
  <si>
    <t>PED-0004</t>
  </si>
  <si>
    <t>Cadeira Gamer</t>
  </si>
  <si>
    <t>Móveis</t>
  </si>
  <si>
    <t>PED-0005</t>
  </si>
  <si>
    <t>Mesa Escritório L</t>
  </si>
  <si>
    <t>PED-0006</t>
  </si>
  <si>
    <t>Ana Lima</t>
  </si>
  <si>
    <t>Centro-Oeste</t>
  </si>
  <si>
    <t>Monitor LG 24"</t>
  </si>
  <si>
    <t>PED-0007</t>
  </si>
  <si>
    <t>PED-0008</t>
  </si>
  <si>
    <t>PED-0009</t>
  </si>
  <si>
    <t>Cabo HDMI 2m</t>
  </si>
  <si>
    <t>Acessórios</t>
  </si>
  <si>
    <t>PED-0010</t>
  </si>
  <si>
    <t>Sul</t>
  </si>
  <si>
    <t>Teclado Mecânico</t>
  </si>
  <si>
    <t>PED-0011</t>
  </si>
  <si>
    <t>Fernanda Costa</t>
  </si>
  <si>
    <t>Pendente</t>
  </si>
  <si>
    <t>PED-0012</t>
  </si>
  <si>
    <t>PED-0013</t>
  </si>
  <si>
    <t>PED-0014</t>
  </si>
  <si>
    <t>PED-0015</t>
  </si>
  <si>
    <t>Impressora HP</t>
  </si>
  <si>
    <t>PED-0016</t>
  </si>
  <si>
    <t>PED-0017</t>
  </si>
  <si>
    <t>PED-0018</t>
  </si>
  <si>
    <t>PED-0019</t>
  </si>
  <si>
    <t>HD Externo 1TB</t>
  </si>
  <si>
    <t>Armazenamento</t>
  </si>
  <si>
    <t>PED-0020</t>
  </si>
  <si>
    <t>PED-0021</t>
  </si>
  <si>
    <t>PED-0022</t>
  </si>
  <si>
    <t>PED-0023</t>
  </si>
  <si>
    <t>Mariana Rocha</t>
  </si>
  <si>
    <t>PED-0024</t>
  </si>
  <si>
    <t>Webcam Logitech</t>
  </si>
  <si>
    <t>PED-0025</t>
  </si>
  <si>
    <t>SSD 500GB</t>
  </si>
  <si>
    <t>PED-0026</t>
  </si>
  <si>
    <t>PED-0027</t>
  </si>
  <si>
    <t>PED-0028</t>
  </si>
  <si>
    <t>PED-0029</t>
  </si>
  <si>
    <t>PED-0030</t>
  </si>
  <si>
    <t>PED-0031</t>
  </si>
  <si>
    <t>PED-0032</t>
  </si>
  <si>
    <t>PED-0033</t>
  </si>
  <si>
    <t>PED-0034</t>
  </si>
  <si>
    <t>PED-0035</t>
  </si>
  <si>
    <t>PED-0036</t>
  </si>
  <si>
    <t>PED-0037</t>
  </si>
  <si>
    <t>PED-0038</t>
  </si>
  <si>
    <t>PED-0039</t>
  </si>
  <si>
    <t>PED-0040</t>
  </si>
  <si>
    <t>PED-0041</t>
  </si>
  <si>
    <t>PED-0042</t>
  </si>
  <si>
    <t>PED-0043</t>
  </si>
  <si>
    <t>PED-0044</t>
  </si>
  <si>
    <t>PED-0045</t>
  </si>
  <si>
    <t>PED-0046</t>
  </si>
  <si>
    <t>PED-0047</t>
  </si>
  <si>
    <t>PED-0048</t>
  </si>
  <si>
    <t>PED-0049</t>
  </si>
  <si>
    <t>PED-0050</t>
  </si>
  <si>
    <t>PED-0051</t>
  </si>
  <si>
    <t>PED-0052</t>
  </si>
  <si>
    <t>PED-0053</t>
  </si>
  <si>
    <t>PED-0054</t>
  </si>
  <si>
    <t>PED-0055</t>
  </si>
  <si>
    <t>PED-0056</t>
  </si>
  <si>
    <t>PED-0057</t>
  </si>
  <si>
    <t>PED-0058</t>
  </si>
  <si>
    <t>PED-0059</t>
  </si>
  <si>
    <t>PED-0060</t>
  </si>
  <si>
    <t>PED-0061</t>
  </si>
  <si>
    <t>PED-0062</t>
  </si>
  <si>
    <t>PED-0063</t>
  </si>
  <si>
    <t>PED-0064</t>
  </si>
  <si>
    <t>PED-0065</t>
  </si>
  <si>
    <t>PED-0066</t>
  </si>
  <si>
    <t>PED-0067</t>
  </si>
  <si>
    <t>PED-0068</t>
  </si>
  <si>
    <t>PED-0069</t>
  </si>
  <si>
    <t>PED-0070</t>
  </si>
  <si>
    <t>PED-0071</t>
  </si>
  <si>
    <t>PED-0072</t>
  </si>
  <si>
    <t>PED-0073</t>
  </si>
  <si>
    <t>PED-0074</t>
  </si>
  <si>
    <t>PED-0075</t>
  </si>
  <si>
    <t>PED-0076</t>
  </si>
  <si>
    <t>PED-0077</t>
  </si>
  <si>
    <t>PED-0078</t>
  </si>
  <si>
    <t>PED-0079</t>
  </si>
  <si>
    <t>PED-0080</t>
  </si>
  <si>
    <t>PED-0081</t>
  </si>
  <si>
    <t>PED-0082</t>
  </si>
  <si>
    <t>PED-0083</t>
  </si>
  <si>
    <t>PED-0084</t>
  </si>
  <si>
    <t>PED-0085</t>
  </si>
  <si>
    <t>PED-0086</t>
  </si>
  <si>
    <t>PED-0087</t>
  </si>
  <si>
    <t>PED-0088</t>
  </si>
  <si>
    <t>PED-0089</t>
  </si>
  <si>
    <t>PED-0090</t>
  </si>
  <si>
    <t>PED-0091</t>
  </si>
  <si>
    <t>PED-0092</t>
  </si>
  <si>
    <t>PED-0093</t>
  </si>
  <si>
    <t>PED-0094</t>
  </si>
  <si>
    <t>PED-0095</t>
  </si>
  <si>
    <t>PED-0096</t>
  </si>
  <si>
    <t>PED-0097</t>
  </si>
  <si>
    <t>PED-0098</t>
  </si>
  <si>
    <t>PED-0099</t>
  </si>
  <si>
    <t>PED-0100</t>
  </si>
  <si>
    <t>PED-0101</t>
  </si>
  <si>
    <t>PED-0102</t>
  </si>
  <si>
    <t>PED-0103</t>
  </si>
  <si>
    <t>PED-0104</t>
  </si>
  <si>
    <t>PED-0105</t>
  </si>
  <si>
    <t>PED-0106</t>
  </si>
  <si>
    <t>PED-0107</t>
  </si>
  <si>
    <t>PED-0108</t>
  </si>
  <si>
    <t>PED-0109</t>
  </si>
  <si>
    <t>PED-0110</t>
  </si>
  <si>
    <t>PED-0111</t>
  </si>
  <si>
    <t>PED-0112</t>
  </si>
  <si>
    <t>PED-0113</t>
  </si>
  <si>
    <t>PED-0114</t>
  </si>
  <si>
    <t>PED-0115</t>
  </si>
  <si>
    <t>PED-0116</t>
  </si>
  <si>
    <t>PED-0117</t>
  </si>
  <si>
    <t>PED-0118</t>
  </si>
  <si>
    <t>PED-0119</t>
  </si>
  <si>
    <t>PED-0120</t>
  </si>
  <si>
    <t>PED-0121</t>
  </si>
  <si>
    <t>PED-0122</t>
  </si>
  <si>
    <t>PED-0123</t>
  </si>
  <si>
    <t>PED-0124</t>
  </si>
  <si>
    <t>PED-0125</t>
  </si>
  <si>
    <t>PED-0126</t>
  </si>
  <si>
    <t>PED-0127</t>
  </si>
  <si>
    <t>PED-0128</t>
  </si>
  <si>
    <t>PED-0129</t>
  </si>
  <si>
    <t>PED-0130</t>
  </si>
  <si>
    <t>PED-0131</t>
  </si>
  <si>
    <t>PED-0132</t>
  </si>
  <si>
    <t>PED-0133</t>
  </si>
  <si>
    <t>PED-0134</t>
  </si>
  <si>
    <t>PED-0135</t>
  </si>
  <si>
    <t>PED-0136</t>
  </si>
  <si>
    <t>PED-0137</t>
  </si>
  <si>
    <t>PED-0138</t>
  </si>
  <si>
    <t>PED-0139</t>
  </si>
  <si>
    <t>PED-0140</t>
  </si>
  <si>
    <t>PED-0141</t>
  </si>
  <si>
    <t>PED-0142</t>
  </si>
  <si>
    <t>PED-0143</t>
  </si>
  <si>
    <t>PED-0144</t>
  </si>
  <si>
    <t>PED-0145</t>
  </si>
  <si>
    <t>PED-0146</t>
  </si>
  <si>
    <t>PED-0147</t>
  </si>
  <si>
    <t>PED-0148</t>
  </si>
  <si>
    <t>PED-0149</t>
  </si>
  <si>
    <t>PED-0150</t>
  </si>
  <si>
    <t>PED-0151</t>
  </si>
  <si>
    <t>PED-0152</t>
  </si>
  <si>
    <t>PED-0153</t>
  </si>
  <si>
    <t>PED-0154</t>
  </si>
  <si>
    <t>PED-0155</t>
  </si>
  <si>
    <t>PED-0156</t>
  </si>
  <si>
    <t>PED-0157</t>
  </si>
  <si>
    <t>PED-0158</t>
  </si>
  <si>
    <t>PED-0159</t>
  </si>
  <si>
    <t>PED-0160</t>
  </si>
  <si>
    <t>PED-0161</t>
  </si>
  <si>
    <t>PED-0162</t>
  </si>
  <si>
    <t>PED-0163</t>
  </si>
  <si>
    <t>PED-0164</t>
  </si>
  <si>
    <t>PED-0165</t>
  </si>
  <si>
    <t>PED-0166</t>
  </si>
  <si>
    <t>PED-0167</t>
  </si>
  <si>
    <t>PED-0168</t>
  </si>
  <si>
    <t>PED-0169</t>
  </si>
  <si>
    <t>PED-0170</t>
  </si>
  <si>
    <t>PED-0171</t>
  </si>
  <si>
    <t>PED-0172</t>
  </si>
  <si>
    <t>PED-0173</t>
  </si>
  <si>
    <t>PED-0174</t>
  </si>
  <si>
    <t>PED-0175</t>
  </si>
  <si>
    <t>PED-0176</t>
  </si>
  <si>
    <t>PED-0177</t>
  </si>
  <si>
    <t>PED-0178</t>
  </si>
  <si>
    <t>PED-0179</t>
  </si>
  <si>
    <t>PED-0180</t>
  </si>
  <si>
    <t>PED-0181</t>
  </si>
  <si>
    <t>PED-0182</t>
  </si>
  <si>
    <t>PED-0183</t>
  </si>
  <si>
    <t>PED-0184</t>
  </si>
  <si>
    <t>PED-0185</t>
  </si>
  <si>
    <t>PED-0186</t>
  </si>
  <si>
    <t>PED-0187</t>
  </si>
  <si>
    <t>PED-0188</t>
  </si>
  <si>
    <t>PED-0189</t>
  </si>
  <si>
    <t>PED-0190</t>
  </si>
  <si>
    <t>PED-0191</t>
  </si>
  <si>
    <t>PED-0192</t>
  </si>
  <si>
    <t>PED-0193</t>
  </si>
  <si>
    <t>PED-0194</t>
  </si>
  <si>
    <t>PED-0195</t>
  </si>
  <si>
    <t>PED-0196</t>
  </si>
  <si>
    <t>PED-0197</t>
  </si>
  <si>
    <t>PED-0198</t>
  </si>
  <si>
    <t>PED-0199</t>
  </si>
  <si>
    <t>PED-0200</t>
  </si>
  <si>
    <t>Rótulos de Linha</t>
  </si>
  <si>
    <t>Total Geral</t>
  </si>
  <si>
    <t>Rótulos de Coluna</t>
  </si>
  <si>
    <t>Total Quantidade</t>
  </si>
  <si>
    <t>Quantidade</t>
  </si>
  <si>
    <t>Total  Total (R$)</t>
  </si>
  <si>
    <t xml:space="preserve"> Total (R$)</t>
  </si>
  <si>
    <t>2024</t>
  </si>
  <si>
    <t>2025</t>
  </si>
  <si>
    <t>Quantidade total</t>
  </si>
  <si>
    <t xml:space="preserve">ID </t>
  </si>
  <si>
    <t>Total</t>
  </si>
  <si>
    <t>Vendendor</t>
  </si>
  <si>
    <t>Consulta ID</t>
  </si>
  <si>
    <t>Consulta Vendedor</t>
  </si>
  <si>
    <t>Consulta Pedidos (QTD)</t>
  </si>
  <si>
    <t>Tipo</t>
  </si>
  <si>
    <t>QTD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</si>
  <si>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</si>
  <si>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</si>
  <si>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</si>
  <si>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</si>
  <si>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</si>
  <si>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</si>
  <si>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</si>
  <si>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</si>
  <si>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</si>
  <si>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</si>
  <si>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</si>
  <si>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</si>
  <si>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Soma de Total (R$)</t>
  </si>
  <si>
    <t>Consulta Id</t>
  </si>
  <si>
    <t>ID</t>
  </si>
  <si>
    <t>Tabela Quantidade</t>
  </si>
  <si>
    <t>Tabela Região x Categoria (Bruto)</t>
  </si>
  <si>
    <t xml:space="preserve">Comparação Anos </t>
  </si>
  <si>
    <t>ANA</t>
  </si>
  <si>
    <t>Receita Total</t>
  </si>
  <si>
    <t>Ticket Médio</t>
  </si>
  <si>
    <t>Total Pedidos</t>
  </si>
  <si>
    <t>% Cancelados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</si>
</sst>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-&quot;R$&quot;\ * #,##0.00_-;\-&quot;R$&quot;\ * #,##0.00_-;_-&quot;R$&quot;\ * &quot;-&quot;??_-;_-@_-"/>
    <numFmt numFmtId="164" formatCode="&quot;R$ &quot;#,##0.00"/>
    <numFmt numFmtId="165" formatCode="0\%"/>
  </numFmts>
  <fonts count="25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0"/>
      <name val="Arial"/>
      <charset val="1"/>
    </font>
    <font>
      <b/>
      <sz val="11"/>
      <color theme="1"/>
      <name val="Calibri"/>
      <family val="2"/>
    </font>
    <font>
      <sz val="16"/>
      <color theme="0"/>
      <name val="Calibri"/>
      <family val="2"/>
      <charset val="1"/>
    </font>
    <font>
      <sz val="14"/>
      <color theme="0"/>
      <name val="Calibri"/>
      <family val="2"/>
      <charset val="1"/>
    </font>
    <font>
      <sz val="18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sz val="16"/>
      <name val="Arial"/>
      <family val="2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sz val="20"/>
      <color theme="0"/>
      <name val="Calibri"/>
      <family val="2"/>
      <charset val="1"/>
    </font>
    <font>
      <sz val="24"/>
      <color theme="0"/>
      <name val="Arial"/>
      <family val="2"/>
    </font>
    <font>
      <sz val="20"/>
      <color rgb="FFFF0000"/>
      <name val="Calibri"/>
      <family val="2"/>
      <charset val="1"/>
    </font>
    <font>
      <sz val="11"/>
      <color theme="1"/>
      <name val="Calibri"/>
      <family val="2"/>
      <charset val="1"/>
    </font>
    <font>
      <sz val="72"/>
      <color theme="0"/>
      <name val="Arial"/>
      <family val="2"/>
    </font>
    <font>
      <sz val="72"/>
      <color theme="0"/>
      <name val="Calibri"/>
      <family val="2"/>
      <charset val="1"/>
    </font>
    <font>
      <sz val="72"/>
      <color rgb="FFFF0000"/>
      <name val="Calibri"/>
      <family val="2"/>
      <charset val="1"/>
    </font>
    <font>
      <sz val="16"/>
      <color theme="1"/>
      <name val="Calibri"/>
      <family val="2"/>
      <charset val="1"/>
    </font>
    <font>
      <sz val="18"/>
      <color theme="1"/>
      <name val="Arial"/>
      <family val="2"/>
    </font>
    <font>
      <b/>
      <sz val="20"/>
      <color indexed="81"/>
      <name val="Segoe UI"/>
      <family val="2"/>
    </font>
    <font>
      <sz val="20"/>
      <color indexed="81"/>
      <name val="Segoe UI"/>
      <family val="2"/>
    </font>
    <font>
      <b/>
      <sz val="22"/>
      <color indexed="81"/>
      <name val="Segoe UI"/>
      <family val="2"/>
    </font>
    <font>
      <sz val="22"/>
      <color indexed="81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54360"/>
      </patternFill>
    </fill>
    <fill>
      <patternFill patternType="solid">
        <fgColor rgb="FFEEF2FF"/>
        <bgColor rgb="FFF4F6F7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1" fillId="0" borderId="0" applyBorder="0" applyAlignment="0" applyProtection="0"/>
    <xf numFmtId="9" fontId="15" fillId="0" borderId="0" applyFont="0" applyFill="0" applyBorder="0" applyAlignment="0" applyProtection="0"/>
  </cellStyleXfs>
  <cellXfs count="6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164" fontId="3" fillId="3" borderId="1" xfId="0" applyNumberFormat="1" applyFont="1" applyFill="1" applyBorder="1" applyAlignment="1">
      <alignment horizontal="center"/>
    </xf>
    <xf numFmtId="165" fontId="3" fillId="3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6" borderId="1" xfId="0" applyFill="1" applyBorder="1"/>
    <xf numFmtId="0" fontId="0" fillId="4" borderId="1" xfId="0" applyFill="1" applyBorder="1"/>
    <xf numFmtId="0" fontId="0" fillId="7" borderId="1" xfId="0" applyFill="1" applyBorder="1"/>
    <xf numFmtId="0" fontId="0" fillId="6" borderId="0" xfId="0" applyFill="1"/>
    <xf numFmtId="44" fontId="1" fillId="7" borderId="1" xfId="1" applyFill="1" applyBorder="1"/>
    <xf numFmtId="44" fontId="1" fillId="4" borderId="1" xfId="1" applyFill="1" applyBorder="1"/>
    <xf numFmtId="0" fontId="0" fillId="9" borderId="1" xfId="0" applyFill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5" borderId="1" xfId="0" applyFill="1" applyBorder="1"/>
    <xf numFmtId="0" fontId="0" fillId="5" borderId="1" xfId="0" applyFill="1" applyBorder="1" applyAlignment="1">
      <alignment wrapText="1"/>
    </xf>
    <xf numFmtId="44" fontId="1" fillId="0" borderId="0" xfId="1"/>
    <xf numFmtId="0" fontId="8" fillId="16" borderId="0" xfId="0" applyFont="1" applyFill="1"/>
    <xf numFmtId="0" fontId="8" fillId="0" borderId="0" xfId="0" applyFont="1"/>
    <xf numFmtId="0" fontId="8" fillId="16" borderId="1" xfId="0" applyFont="1" applyFill="1" applyBorder="1"/>
    <xf numFmtId="0" fontId="8" fillId="16" borderId="1" xfId="0" applyFont="1" applyFill="1" applyBorder="1" applyAlignment="1">
      <alignment horizontal="left"/>
    </xf>
    <xf numFmtId="164" fontId="8" fillId="16" borderId="1" xfId="0" applyNumberFormat="1" applyFont="1" applyFill="1" applyBorder="1"/>
    <xf numFmtId="0" fontId="8" fillId="15" borderId="1" xfId="0" applyFont="1" applyFill="1" applyBorder="1"/>
    <xf numFmtId="0" fontId="0" fillId="0" borderId="1" xfId="0" applyBorder="1"/>
    <xf numFmtId="44" fontId="9" fillId="10" borderId="1" xfId="1" applyFont="1" applyFill="1" applyBorder="1"/>
    <xf numFmtId="44" fontId="9" fillId="14" borderId="1" xfId="1" applyFont="1" applyFill="1" applyBorder="1"/>
    <xf numFmtId="0" fontId="10" fillId="10" borderId="1" xfId="0" applyFont="1" applyFill="1" applyBorder="1"/>
    <xf numFmtId="0" fontId="10" fillId="15" borderId="1" xfId="0" applyFont="1" applyFill="1" applyBorder="1"/>
    <xf numFmtId="0" fontId="10" fillId="14" borderId="1" xfId="0" applyFont="1" applyFill="1" applyBorder="1"/>
    <xf numFmtId="0" fontId="10" fillId="11" borderId="1" xfId="0" applyFont="1" applyFill="1" applyBorder="1"/>
    <xf numFmtId="0" fontId="10" fillId="0" borderId="0" xfId="0" applyFont="1"/>
    <xf numFmtId="0" fontId="0" fillId="17" borderId="0" xfId="0" applyFill="1"/>
    <xf numFmtId="0" fontId="10" fillId="15" borderId="3" xfId="0" applyFont="1" applyFill="1" applyBorder="1"/>
    <xf numFmtId="44" fontId="13" fillId="17" borderId="0" xfId="1" applyFont="1" applyFill="1" applyAlignment="1"/>
    <xf numFmtId="0" fontId="12" fillId="17" borderId="0" xfId="0" applyFont="1" applyFill="1"/>
    <xf numFmtId="0" fontId="6" fillId="13" borderId="0" xfId="0" applyFont="1" applyFill="1" applyAlignment="1">
      <alignment horizontal="center"/>
    </xf>
    <xf numFmtId="0" fontId="7" fillId="12" borderId="0" xfId="0" applyFont="1" applyFill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11" fillId="12" borderId="2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4" fillId="5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8" borderId="2" xfId="0" applyFont="1" applyFill="1" applyBorder="1" applyAlignment="1">
      <alignment horizontal="center"/>
    </xf>
    <xf numFmtId="0" fontId="12" fillId="17" borderId="0" xfId="0" applyFont="1" applyFill="1" applyAlignment="1">
      <alignment horizontal="center"/>
    </xf>
    <xf numFmtId="0" fontId="14" fillId="17" borderId="0" xfId="0" applyFont="1" applyFill="1" applyAlignment="1">
      <alignment horizontal="center"/>
    </xf>
    <xf numFmtId="44" fontId="16" fillId="17" borderId="0" xfId="1" applyFont="1" applyFill="1" applyAlignment="1">
      <alignment horizontal="center"/>
    </xf>
    <xf numFmtId="0" fontId="17" fillId="17" borderId="0" xfId="0" applyFont="1" applyFill="1" applyAlignment="1">
      <alignment horizontal="center"/>
    </xf>
    <xf numFmtId="0" fontId="18" fillId="17" borderId="0" xfId="0" applyFont="1" applyFill="1" applyAlignment="1">
      <alignment horizontal="center"/>
    </xf>
    <xf numFmtId="9" fontId="18" fillId="17" borderId="0" xfId="2" applyFont="1" applyFill="1" applyAlignment="1">
      <alignment horizontal="center"/>
    </xf>
    <xf numFmtId="0" fontId="19" fillId="0" borderId="0" xfId="0" applyFont="1"/>
    <xf numFmtId="0" fontId="20" fillId="14" borderId="1" xfId="0" applyFont="1" applyFill="1" applyBorder="1"/>
  </cellXfs>
  <cellStyles count="3">
    <cellStyle name="Moeda" xfId="1" builtinId="4"/>
    <cellStyle name="Normal" xfId="0" builtinId="0"/>
    <cellStyle name="Porcentagem" xfId="2" builtinId="5"/>
  </cellStyles>
  <dxfs count="103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ill>
        <patternFill>
          <bgColor theme="4" tint="0.59999389629810485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>
          <bgColor theme="4" tint="0.39997558519241921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color theme="0"/>
      </font>
    </dxf>
    <dxf>
      <font>
        <color theme="0"/>
      </font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 patternType="solid">
          <bgColor theme="9" tint="0.39997558519241921"/>
        </patternFill>
      </fill>
    </dxf>
    <dxf>
      <fill>
        <patternFill>
          <bgColor theme="0"/>
        </patternFill>
      </fill>
    </dxf>
    <dxf>
      <fill>
        <patternFill>
          <bgColor theme="3" tint="-0.499984740745262"/>
        </patternFill>
      </fill>
    </dxf>
    <dxf>
      <fill>
        <patternFill>
          <bgColor theme="3"/>
        </patternFill>
      </fill>
    </dxf>
  </dxfs>
  <tableStyles count="2" defaultTableStyle="TableStyleMedium2" defaultPivotStyle="PivotStyleLight16">
    <tableStyle name="Estilo de Segmentação de Dados 1" pivot="0" table="0" count="1" xr9:uid="{095497ED-65E9-4AAE-BB28-6048CBE1C86F}">
      <tableStyleElement type="wholeTable" dxfId="102"/>
    </tableStyle>
    <tableStyle name="Estilo de Segmentação de Dados 2" pivot="0" table="0" count="10" xr9:uid="{D848B456-F9DD-4647-88A0-DF5585B81157}">
      <tableStyleElement type="wholeTable" dxfId="101"/>
      <tableStyleElement type="headerRow" dxfId="100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6F7"/>
      <rgbColor rgb="FFEEF2FF"/>
      <rgbColor rgb="FF660066"/>
      <rgbColor rgb="FFFF8080"/>
      <rgbColor rgb="FF1A527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54360"/>
      <rgbColor rgb="FF339966"/>
      <rgbColor rgb="FF003300"/>
      <rgbColor rgb="FF34495E"/>
      <rgbColor rgb="FF993300"/>
      <rgbColor rgb="FF993366"/>
      <rgbColor rgb="FF1F3864"/>
      <rgbColor rgb="FF2E405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FCC"/>
    </mruColors>
  </colors>
  <extLst>
    <ext xmlns:x14="http://schemas.microsoft.com/office/spreadsheetml/2009/9/main" uri="{46F421CA-312F-682f-3DD2-61675219B42D}">
      <x14:dxfs count="8">
        <dxf>
          <fill>
            <patternFill>
              <bgColor theme="0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3" tint="-0.24994659260841701"/>
            </patternFill>
          </fill>
        </dxf>
        <dxf>
          <fill>
            <patternFill>
              <bgColor theme="0"/>
            </patternFill>
          </fill>
        </dxf>
        <dxf>
          <fill>
            <patternFill>
              <bgColor theme="0" tint="-4.9989318521683403E-2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/>
        <x14:slicerStyle name="Estilo de Segmentação de Dados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'Consultas x Gráficos'!$N$1:$N$12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'Consultas x Gráficos'!$M$1:$M$12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BB8-46D9-8A9A-0DCC76A42F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16634816"/>
        <c:axId val="1916622816"/>
      </c:barChart>
      <c:catAx>
        <c:axId val="191663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6622816"/>
        <c:crosses val="autoZero"/>
        <c:auto val="1"/>
        <c:lblAlgn val="ctr"/>
        <c:lblOffset val="100"/>
        <c:noMultiLvlLbl val="0"/>
      </c:catAx>
      <c:valAx>
        <c:axId val="191662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6634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/>
              <a:t>Produtos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'Consultas x Gráficos'!$M$1:$M$12</c:f>
              <c:strCache>
                <c:ptCount val="12"/>
                <c:pt idx="0">
                  <c:v>Teclado Mecânico</c:v>
                </c:pt>
                <c:pt idx="1">
                  <c:v>Headset Sony</c:v>
                </c:pt>
                <c:pt idx="2">
                  <c:v>Mesa Escritório L</c:v>
                </c:pt>
                <c:pt idx="3">
                  <c:v>Cabo HDMI 2m</c:v>
                </c:pt>
                <c:pt idx="4">
                  <c:v>HD Externo 1TB</c:v>
                </c:pt>
                <c:pt idx="5">
                  <c:v>Webcam Logitech</c:v>
                </c:pt>
                <c:pt idx="6">
                  <c:v>Notebook Dell Inspiron</c:v>
                </c:pt>
                <c:pt idx="7">
                  <c:v>SSD 500GB</c:v>
                </c:pt>
                <c:pt idx="8">
                  <c:v>Monitor LG 24"</c:v>
                </c:pt>
                <c:pt idx="9">
                  <c:v>Cadeira Gamer</c:v>
                </c:pt>
                <c:pt idx="10">
                  <c:v>Impressora HP</c:v>
                </c:pt>
                <c:pt idx="11">
                  <c:v>Mouse Logitech MX</c:v>
                </c:pt>
              </c:strCache>
            </c:strRef>
          </c:cat>
          <c:val>
            <c:numRef>
              <c:f>'Consultas x Gráficos'!$N$1:$N$12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19</c:v>
                </c:pt>
                <c:pt idx="8">
                  <c:v>20</c:v>
                </c:pt>
                <c:pt idx="9">
                  <c:v>22</c:v>
                </c:pt>
                <c:pt idx="10">
                  <c:v>22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CF-4348-9B7A-F62D315F8A2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16624256"/>
        <c:axId val="1916641056"/>
      </c:barChart>
      <c:catAx>
        <c:axId val="191662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6641056"/>
        <c:crosses val="autoZero"/>
        <c:auto val="1"/>
        <c:lblAlgn val="ctr"/>
        <c:lblOffset val="100"/>
        <c:noMultiLvlLbl val="0"/>
      </c:catAx>
      <c:valAx>
        <c:axId val="191664105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6624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[Projeto_Vendas_Portfolio_1.xlsx]Consultas x Gráficos!Tabela dinâmica1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1"/>
              <a:t>Receita</a:t>
            </a:r>
            <a:r>
              <a:rPr lang="pt-BR" sz="2400" b="1" baseline="0"/>
              <a:t> 2024 x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'Consultas x Gráficos'!$R$3:$R$4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'Consultas x Gráficos'!$Q$5:$Q$16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'Consultas x Gráficos'!$R$5:$R$16</c:f>
              <c:numCache>
                <c:formatCode>"R$ "#,##0.00</c:formatCode>
                <c:ptCount val="12"/>
                <c:pt idx="0">
                  <c:v>18042.279500000001</c:v>
                </c:pt>
                <c:pt idx="1">
                  <c:v>39309.514500000005</c:v>
                </c:pt>
                <c:pt idx="2">
                  <c:v>52435.958999999995</c:v>
                </c:pt>
                <c:pt idx="3">
                  <c:v>70608.107499999998</c:v>
                </c:pt>
                <c:pt idx="4">
                  <c:v>31552.357</c:v>
                </c:pt>
                <c:pt idx="5">
                  <c:v>79440.888999999996</c:v>
                </c:pt>
                <c:pt idx="6">
                  <c:v>72486.904999999999</c:v>
                </c:pt>
                <c:pt idx="7">
                  <c:v>58852.449500000002</c:v>
                </c:pt>
                <c:pt idx="8">
                  <c:v>100908.973</c:v>
                </c:pt>
                <c:pt idx="9">
                  <c:v>70044.422500000001</c:v>
                </c:pt>
                <c:pt idx="10">
                  <c:v>35560.648500000003</c:v>
                </c:pt>
                <c:pt idx="11">
                  <c:v>90914.080500000011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A32-4CBD-8936-B5FCC3387E27}"/>
            </c:ext>
          </c:extLst>
        </c:ser>
        <c:ser>
          <c:idx val="1"/>
          <c:order val="1"/>
          <c:tx>
            <c:strRef>
              <c:f>'Consultas x Gráficos'!$S$3:$S$4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'Consultas x Gráficos'!$Q$5:$Q$16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'Consultas x Gráficos'!$S$5:$S$16</c:f>
              <c:numCache>
                <c:formatCode>"R$ "#,##0.00</c:formatCode>
                <c:ptCount val="12"/>
                <c:pt idx="0">
                  <c:v>45116.188999999998</c:v>
                </c:pt>
                <c:pt idx="1">
                  <c:v>220186.94349999999</c:v>
                </c:pt>
                <c:pt idx="2">
                  <c:v>136910.5325</c:v>
                </c:pt>
                <c:pt idx="3">
                  <c:v>89346.897499999992</c:v>
                </c:pt>
                <c:pt idx="4">
                  <c:v>72944.361999999994</c:v>
                </c:pt>
                <c:pt idx="5">
                  <c:v>48721.36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A32-4CBD-8936-B5FCC3387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257088"/>
        <c:axId val="496253728"/>
      </c:lineChart>
      <c:catAx>
        <c:axId val="4962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253728"/>
        <c:crosses val="autoZero"/>
        <c:auto val="1"/>
        <c:lblAlgn val="ctr"/>
        <c:lblOffset val="100"/>
        <c:noMultiLvlLbl val="0"/>
      </c:catAx>
      <c:valAx>
        <c:axId val="4962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2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1"/>
              <a:t>Quantidade</a:t>
            </a:r>
            <a:r>
              <a:rPr lang="pt-BR" sz="2400" b="1" baseline="0"/>
              <a:t>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0579469592277658"/>
          <c:y val="0.18291704962690586"/>
          <c:w val="0.7663516720623027"/>
          <c:h val="0.7826757931425452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'Consultas x Gráficos'!$H$17:$H$22</c:f>
              <c:strCache>
                <c:ptCount val="6"/>
                <c:pt idx="0">
                  <c:v>Carlos Souza</c:v>
                </c:pt>
                <c:pt idx="1">
                  <c:v>Fernanda Costa</c:v>
                </c:pt>
                <c:pt idx="2">
                  <c:v>Mariana Rocha</c:v>
                </c:pt>
                <c:pt idx="3">
                  <c:v>Ana Lima</c:v>
                </c:pt>
                <c:pt idx="4">
                  <c:v>João Silva</c:v>
                </c:pt>
                <c:pt idx="5">
                  <c:v>Pedro Alves</c:v>
                </c:pt>
              </c:strCache>
            </c:strRef>
          </c:cat>
          <c:val>
            <c:numRef>
              <c:f>'Consultas x Gráficos'!$I$17:$I$22</c:f>
              <c:numCache>
                <c:formatCode>General</c:formatCode>
                <c:ptCount val="6"/>
                <c:pt idx="0">
                  <c:v>26</c:v>
                </c:pt>
                <c:pt idx="1">
                  <c:v>28</c:v>
                </c:pt>
                <c:pt idx="2">
                  <c:v>29</c:v>
                </c:pt>
                <c:pt idx="3">
                  <c:v>33</c:v>
                </c:pt>
                <c:pt idx="4">
                  <c:v>42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9-4BCF-A328-CB5C027AF4B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4134240"/>
        <c:axId val="524135200"/>
      </c:barChart>
      <c:catAx>
        <c:axId val="52413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135200"/>
        <c:crosses val="autoZero"/>
        <c:auto val="1"/>
        <c:lblAlgn val="ctr"/>
        <c:lblOffset val="100"/>
        <c:noMultiLvlLbl val="0"/>
      </c:catAx>
      <c:valAx>
        <c:axId val="5241352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2413424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2400" b="1" baseline="0"/>
              <a:t>Total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8025266320300398"/>
          <c:y val="0.19486111111111112"/>
          <c:w val="0.71726867395455729"/>
          <c:h val="0.7495833333333332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9.8881777995826373E-17"/>
                  <c:y val="-9.25925925925930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F11-4FD3-9BBA-DED68654850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'Consultas x Gráficos'!$J$17:$J$22</c:f>
              <c:strCache>
                <c:ptCount val="6"/>
                <c:pt idx="0">
                  <c:v>Carlos Souza</c:v>
                </c:pt>
                <c:pt idx="1">
                  <c:v>Fernanda Costa</c:v>
                </c:pt>
                <c:pt idx="2">
                  <c:v>Mariana Rocha</c:v>
                </c:pt>
                <c:pt idx="3">
                  <c:v>João Silva</c:v>
                </c:pt>
                <c:pt idx="4">
                  <c:v>Pedro Alves</c:v>
                </c:pt>
                <c:pt idx="5">
                  <c:v>Ana Lima</c:v>
                </c:pt>
              </c:strCache>
            </c:strRef>
          </c:cat>
          <c:val>
            <c:numRef>
              <c:f>'Consultas x Gráficos'!$K$17:$K$22</c:f>
              <c:numCache>
                <c:formatCode>_("R$"* #,##0.00_);_("R$"* \(#,##0.00\);_("R$"* "-"??_);_(@_)</c:formatCode>
                <c:ptCount val="6"/>
                <c:pt idx="0">
                  <c:v>148347.5055</c:v>
                </c:pt>
                <c:pt idx="1">
                  <c:v>188663.66150000005</c:v>
                </c:pt>
                <c:pt idx="2">
                  <c:v>191125.75900000002</c:v>
                </c:pt>
                <c:pt idx="3">
                  <c:v>225899.90200000006</c:v>
                </c:pt>
                <c:pt idx="4">
                  <c:v>260929.61900000004</c:v>
                </c:pt>
                <c:pt idx="5">
                  <c:v>318416.42299999995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11-4FD3-9BBA-DED68654850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4038720"/>
        <c:axId val="524039200"/>
      </c:barChart>
      <c:catAx>
        <c:axId val="524038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039200"/>
        <c:crosses val="autoZero"/>
        <c:auto val="1"/>
        <c:lblAlgn val="ctr"/>
        <c:lblOffset val="100"/>
        <c:noMultiLvlLbl val="0"/>
      </c:catAx>
      <c:valAx>
        <c:axId val="52403920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2403872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[Projeto_Vendas_Portfolio_1.xlsx]Consultas x Gráficos!Tabela dinâmica5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/>
              <a:t>Total vendedor</a:t>
            </a:r>
            <a:r>
              <a:rPr lang="en-US" sz="2000" b="1" baseline="0"/>
              <a:t> por região</a:t>
            </a: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745425023957684"/>
          <c:y val="0.20051407447405314"/>
          <c:w val="0.80691924655505898"/>
          <c:h val="0.52407362972154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'Consultas x Gráficos'!$D$20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>
                    <a:lumMod val="50000"/>
                  </a:schemeClr>
                </a:solidFill>
                <a:prstDash val="sysDot"/>
              </a:ln>
              <a:effectLst>
                <a:outerShdw blurRad="50800" dist="50800" dir="5400000" algn="ctr" rotWithShape="0">
                  <a:srgbClr val="000000">
                    <a:alpha val="0"/>
                  </a:srgbClr>
                </a:outerShdw>
              </a:effectLst>
            </c:spPr>
            <c:trendlineType val="linear"/>
            <c:dispRSqr val="0"/>
            <c:dispEq val="0"/>
          </c:trendline>
          <c:cat>
            <c:strRef>
              <c:f>'Consultas x Gráficos'!$C$21:$C$26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'Consultas x Gráficos'!$D$21:$D$26</c:f>
              <c:numCache>
                <c:formatCode>"R$ "#,##0.00</c:formatCode>
                <c:ptCount val="5"/>
                <c:pt idx="0">
                  <c:v>27463.858</c:v>
                </c:pt>
                <c:pt idx="1">
                  <c:v>17488.249</c:v>
                </c:pt>
                <c:pt idx="2">
                  <c:v>57651.74</c:v>
                </c:pt>
                <c:pt idx="3">
                  <c:v>20870.103000000003</c:v>
                </c:pt>
                <c:pt idx="4">
                  <c:v>24873.555499999999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F7-46FA-86F7-038C0BD151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083728"/>
        <c:axId val="536067408"/>
      </c:barChart>
      <c:catAx>
        <c:axId val="5360837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6067408"/>
        <c:crosses val="autoZero"/>
        <c:auto val="1"/>
        <c:lblAlgn val="ctr"/>
        <c:lblOffset val="100"/>
        <c:noMultiLvlLbl val="0"/>
      </c:catAx>
      <c:valAx>
        <c:axId val="536067408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crossAx val="536083728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4400">
                <a:solidFill>
                  <a:schemeClr val="bg1"/>
                </a:solidFill>
              </a:rPr>
              <a:t>Ranking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400" b="1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648862164803578"/>
          <c:y val="0.1479790218519588"/>
          <c:w val="0.81054723647724514"/>
          <c:h val="0.85184631270485489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>
                <a:alpha val="85000"/>
              </a:srgb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'Consultas x Gráficos'!$M$1:$M$12</c:f>
              <c:strCache>
                <c:ptCount val="12"/>
                <c:pt idx="0">
                  <c:v>Teclado Mecânico</c:v>
                </c:pt>
                <c:pt idx="1">
                  <c:v>Headset Sony</c:v>
                </c:pt>
                <c:pt idx="2">
                  <c:v>Mesa Escritório L</c:v>
                </c:pt>
                <c:pt idx="3">
                  <c:v>Cabo HDMI 2m</c:v>
                </c:pt>
                <c:pt idx="4">
                  <c:v>HD Externo 1TB</c:v>
                </c:pt>
                <c:pt idx="5">
                  <c:v>Webcam Logitech</c:v>
                </c:pt>
                <c:pt idx="6">
                  <c:v>Notebook Dell Inspiron</c:v>
                </c:pt>
                <c:pt idx="7">
                  <c:v>SSD 500GB</c:v>
                </c:pt>
                <c:pt idx="8">
                  <c:v>Monitor LG 24"</c:v>
                </c:pt>
                <c:pt idx="9">
                  <c:v>Cadeira Gamer</c:v>
                </c:pt>
                <c:pt idx="10">
                  <c:v>Impressora HP</c:v>
                </c:pt>
                <c:pt idx="11">
                  <c:v>Mouse Logitech MX</c:v>
                </c:pt>
              </c:strCache>
            </c:strRef>
          </c:cat>
          <c:val>
            <c:numRef>
              <c:f>'Consultas x Gráficos'!$N$1:$N$12</c:f>
              <c:numCache>
                <c:formatCode>General</c:formatCode>
                <c:ptCount val="12"/>
                <c:pt idx="0">
                  <c:v>8</c:v>
                </c:pt>
                <c:pt idx="1">
                  <c:v>10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17</c:v>
                </c:pt>
                <c:pt idx="6">
                  <c:v>19</c:v>
                </c:pt>
                <c:pt idx="7">
                  <c:v>19</c:v>
                </c:pt>
                <c:pt idx="8">
                  <c:v>20</c:v>
                </c:pt>
                <c:pt idx="9">
                  <c:v>22</c:v>
                </c:pt>
                <c:pt idx="10">
                  <c:v>22</c:v>
                </c:pt>
                <c:pt idx="1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F1-44BF-A3F9-2FBBF7EED39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16624256"/>
        <c:axId val="1916641056"/>
      </c:barChart>
      <c:catAx>
        <c:axId val="1916624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cap="all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16641056"/>
        <c:crosses val="autoZero"/>
        <c:auto val="1"/>
        <c:lblAlgn val="ctr"/>
        <c:lblOffset val="100"/>
        <c:noMultiLvlLbl val="0"/>
      </c:catAx>
      <c:valAx>
        <c:axId val="1916641056"/>
        <c:scaling>
          <c:orientation val="minMax"/>
        </c:scaling>
        <c:delete val="1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16624256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4400" b="1" baseline="0">
                <a:solidFill>
                  <a:schemeClr val="bg1"/>
                </a:solidFill>
              </a:rPr>
              <a:t>Total Por Vendedor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7155321979533153"/>
          <c:y val="0.17105036947793925"/>
          <c:w val="0.71726867395455729"/>
          <c:h val="0.7495833333333332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>
              <a:outerShdw blurRad="50800" dist="50800" dir="5400000" algn="ctr" rotWithShape="0">
                <a:schemeClr val="tx2">
                  <a:lumMod val="40000"/>
                  <a:lumOff val="60000"/>
                  <a:alpha val="43000"/>
                </a:schemeClr>
              </a:outerShdw>
            </a:effectLst>
          </c:spPr>
          <c:invertIfNegative val="0"/>
          <c:dLbls>
            <c:dLbl>
              <c:idx val="5"/>
              <c:layout>
                <c:manualLayout>
                  <c:x val="-9.8881777995826373E-17"/>
                  <c:y val="-9.2592592592593021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7D2A-41A1-8F37-E6D7CBE1E44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'Consultas x Gráficos'!$J$17:$J$22</c:f>
              <c:strCache>
                <c:ptCount val="6"/>
                <c:pt idx="0">
                  <c:v>Carlos Souza</c:v>
                </c:pt>
                <c:pt idx="1">
                  <c:v>Fernanda Costa</c:v>
                </c:pt>
                <c:pt idx="2">
                  <c:v>Mariana Rocha</c:v>
                </c:pt>
                <c:pt idx="3">
                  <c:v>João Silva</c:v>
                </c:pt>
                <c:pt idx="4">
                  <c:v>Pedro Alves</c:v>
                </c:pt>
                <c:pt idx="5">
                  <c:v>Ana Lima</c:v>
                </c:pt>
              </c:strCache>
            </c:strRef>
          </c:cat>
          <c:val>
            <c:numRef>
              <c:f>'Consultas x Gráficos'!$K$17:$K$22</c:f>
              <c:numCache>
                <c:formatCode>_("R$"* #,##0.00_);_("R$"* \(#,##0.00\);_("R$"* "-"??_);_(@_)</c:formatCode>
                <c:ptCount val="6"/>
                <c:pt idx="0">
                  <c:v>148347.5055</c:v>
                </c:pt>
                <c:pt idx="1">
                  <c:v>188663.66150000005</c:v>
                </c:pt>
                <c:pt idx="2">
                  <c:v>191125.75900000002</c:v>
                </c:pt>
                <c:pt idx="3">
                  <c:v>225899.90200000006</c:v>
                </c:pt>
                <c:pt idx="4">
                  <c:v>260929.61900000004</c:v>
                </c:pt>
                <c:pt idx="5">
                  <c:v>318416.42299999995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D2A-41A1-8F37-E6D7CBE1E44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4038720"/>
        <c:axId val="524039200"/>
      </c:barChart>
      <c:catAx>
        <c:axId val="52403872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2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039200"/>
        <c:crosses val="autoZero"/>
        <c:auto val="1"/>
        <c:lblAlgn val="ctr"/>
        <c:lblOffset val="100"/>
        <c:noMultiLvlLbl val="0"/>
      </c:catAx>
      <c:valAx>
        <c:axId val="52403920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2403872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4400" b="1">
                <a:solidFill>
                  <a:schemeClr val="bg1"/>
                </a:solidFill>
              </a:rPr>
              <a:t>Quantidade</a:t>
            </a:r>
            <a:r>
              <a:rPr lang="pt-BR" sz="4400" b="1" baseline="0">
                <a:solidFill>
                  <a:schemeClr val="bg1"/>
                </a:solidFill>
              </a:rPr>
              <a:t>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1912564615313069"/>
          <c:y val="0.15517659406463957"/>
          <c:w val="0.7663516720623027"/>
          <c:h val="0.78267579314254521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rgbClr val="00B0F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'Consultas x Gráficos'!$H$17:$H$22</c:f>
              <c:strCache>
                <c:ptCount val="6"/>
                <c:pt idx="0">
                  <c:v>Carlos Souza</c:v>
                </c:pt>
                <c:pt idx="1">
                  <c:v>Fernanda Costa</c:v>
                </c:pt>
                <c:pt idx="2">
                  <c:v>Mariana Rocha</c:v>
                </c:pt>
                <c:pt idx="3">
                  <c:v>Ana Lima</c:v>
                </c:pt>
                <c:pt idx="4">
                  <c:v>João Silva</c:v>
                </c:pt>
                <c:pt idx="5">
                  <c:v>Pedro Alves</c:v>
                </c:pt>
              </c:strCache>
            </c:strRef>
          </c:cat>
          <c:val>
            <c:numRef>
              <c:f>'Consultas x Gráficos'!$I$17:$I$22</c:f>
              <c:numCache>
                <c:formatCode>General</c:formatCode>
                <c:ptCount val="6"/>
                <c:pt idx="0">
                  <c:v>26</c:v>
                </c:pt>
                <c:pt idx="1">
                  <c:v>28</c:v>
                </c:pt>
                <c:pt idx="2">
                  <c:v>29</c:v>
                </c:pt>
                <c:pt idx="3">
                  <c:v>33</c:v>
                </c:pt>
                <c:pt idx="4">
                  <c:v>42</c:v>
                </c:pt>
                <c:pt idx="5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9F-455B-A690-846E7A8969C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4134240"/>
        <c:axId val="524135200"/>
      </c:barChart>
      <c:catAx>
        <c:axId val="5241342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8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24135200"/>
        <c:crosses val="autoZero"/>
        <c:auto val="1"/>
        <c:lblAlgn val="ctr"/>
        <c:lblOffset val="100"/>
        <c:noMultiLvlLbl val="0"/>
      </c:catAx>
      <c:valAx>
        <c:axId val="524135200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524134240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[Projeto_Vendas_Portfolio_1.xlsx]Consultas x Gráficos!Tabela dinâmica5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en-US" sz="4400" b="1">
                <a:solidFill>
                  <a:schemeClr val="bg1"/>
                </a:solidFill>
              </a:rPr>
              <a:t>Total Por</a:t>
            </a:r>
            <a:r>
              <a:rPr lang="en-US" sz="4400" b="1" baseline="0">
                <a:solidFill>
                  <a:schemeClr val="bg1"/>
                </a:solidFill>
              </a:rPr>
              <a:t> Região</a:t>
            </a:r>
            <a:endParaRPr lang="en-US" sz="4400" b="1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7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863339153850736"/>
          <c:y val="0.30017947850696242"/>
          <c:w val="0.80691924655505898"/>
          <c:h val="0.5240736297215408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'Consultas x Gráficos'!$D$20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>
                    <a:lumMod val="50000"/>
                  </a:schemeClr>
                </a:solidFill>
                <a:prstDash val="sysDot"/>
              </a:ln>
              <a:effectLst>
                <a:outerShdw blurRad="50800" dist="50800" dir="5400000" algn="ctr" rotWithShape="0">
                  <a:srgbClr val="000000">
                    <a:alpha val="0"/>
                  </a:srgbClr>
                </a:outerShdw>
              </a:effectLst>
            </c:spPr>
            <c:trendlineType val="linear"/>
            <c:dispRSqr val="0"/>
            <c:dispEq val="0"/>
          </c:trendline>
          <c:cat>
            <c:strRef>
              <c:f>'Consultas x Gráficos'!$C$21:$C$26</c:f>
              <c:strCache>
                <c:ptCount val="5"/>
                <c:pt idx="0">
                  <c:v>Centro-Oeste</c:v>
                </c:pt>
                <c:pt idx="1">
                  <c:v>Nordeste</c:v>
                </c:pt>
                <c:pt idx="2">
                  <c:v>Norte</c:v>
                </c:pt>
                <c:pt idx="3">
                  <c:v>Sudeste</c:v>
                </c:pt>
                <c:pt idx="4">
                  <c:v>Sul</c:v>
                </c:pt>
              </c:strCache>
            </c:strRef>
          </c:cat>
          <c:val>
            <c:numRef>
              <c:f>'Consultas x Gráficos'!$D$21:$D$26</c:f>
              <c:numCache>
                <c:formatCode>"R$ "#,##0.00</c:formatCode>
                <c:ptCount val="5"/>
                <c:pt idx="0">
                  <c:v>27463.858</c:v>
                </c:pt>
                <c:pt idx="1">
                  <c:v>17488.249</c:v>
                </c:pt>
                <c:pt idx="2">
                  <c:v>57651.74</c:v>
                </c:pt>
                <c:pt idx="3">
                  <c:v>20870.103000000003</c:v>
                </c:pt>
                <c:pt idx="4">
                  <c:v>24873.555499999999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DD-4CDC-99F3-CCBC958732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6083728"/>
        <c:axId val="536067408"/>
      </c:barChart>
      <c:catAx>
        <c:axId val="5360837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536067408"/>
        <c:crosses val="autoZero"/>
        <c:auto val="1"/>
        <c:lblAlgn val="ctr"/>
        <c:lblOffset val="100"/>
        <c:noMultiLvlLbl val="0"/>
      </c:catAx>
      <c:valAx>
        <c:axId val="536067408"/>
        <c:scaling>
          <c:orientation val="minMax"/>
        </c:scaling>
        <c:delete val="1"/>
        <c:axPos val="l"/>
        <c:numFmt formatCode="&quot;R$ &quot;#,##0.00" sourceLinked="1"/>
        <c:majorTickMark val="none"/>
        <c:minorTickMark val="none"/>
        <c:tickLblPos val="nextTo"/>
        <c:crossAx val="536083728"/>
        <c:crosses val="autoZero"/>
        <c:crossBetween val="between"/>
      </c:valAx>
      <c:dTable>
        <c:showHorzBorder val="0"/>
        <c:showVertBorder val="0"/>
        <c:showOutline val="0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32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[Projeto_Vendas_Portfolio_1.xlsx]Consultas x Gráficos!Tabela dinâmica1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4400" b="1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 sz="4400" b="1" baseline="0">
                <a:solidFill>
                  <a:schemeClr val="bg1"/>
                </a:solidFill>
              </a:rPr>
              <a:t>Total 2024 x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400" b="1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'Consultas x Gráficos'!$R$3:$R$4</c:f>
              <c:strCache>
                <c:ptCount val="1"/>
                <c:pt idx="0">
                  <c:v>2024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'Consultas x Gráficos'!$Q$5:$Q$16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'Consultas x Gráficos'!$R$5:$R$16</c:f>
              <c:numCache>
                <c:formatCode>"R$ "#,##0.00</c:formatCode>
                <c:ptCount val="12"/>
                <c:pt idx="0">
                  <c:v>18042.279500000001</c:v>
                </c:pt>
                <c:pt idx="1">
                  <c:v>39309.514500000005</c:v>
                </c:pt>
                <c:pt idx="2">
                  <c:v>52435.958999999995</c:v>
                </c:pt>
                <c:pt idx="3">
                  <c:v>70608.107499999998</c:v>
                </c:pt>
                <c:pt idx="4">
                  <c:v>31552.357</c:v>
                </c:pt>
                <c:pt idx="5">
                  <c:v>79440.888999999996</c:v>
                </c:pt>
                <c:pt idx="6">
                  <c:v>72486.904999999999</c:v>
                </c:pt>
                <c:pt idx="7">
                  <c:v>58852.449500000002</c:v>
                </c:pt>
                <c:pt idx="8">
                  <c:v>100908.973</c:v>
                </c:pt>
                <c:pt idx="9">
                  <c:v>70044.422500000001</c:v>
                </c:pt>
                <c:pt idx="10">
                  <c:v>35560.648500000003</c:v>
                </c:pt>
                <c:pt idx="11">
                  <c:v>90914.080500000011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F83-49B6-9800-2EF396E81707}"/>
            </c:ext>
          </c:extLst>
        </c:ser>
        <c:ser>
          <c:idx val="1"/>
          <c:order val="1"/>
          <c:tx>
            <c:strRef>
              <c:f>'Consultas x Gráficos'!$S$3:$S$4</c:f>
              <c:strCache>
                <c:ptCount val="1"/>
                <c:pt idx="0">
                  <c:v>2025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'Consultas x Gráficos'!$Q$5:$Q$16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'Consultas x Gráficos'!$S$5:$S$16</c:f>
              <c:numCache>
                <c:formatCode>"R$ "#,##0.00</c:formatCode>
                <c:ptCount val="12"/>
                <c:pt idx="0">
                  <c:v>45116.188999999998</c:v>
                </c:pt>
                <c:pt idx="1">
                  <c:v>220186.94349999999</c:v>
                </c:pt>
                <c:pt idx="2">
                  <c:v>136910.5325</c:v>
                </c:pt>
                <c:pt idx="3">
                  <c:v>89346.897499999992</c:v>
                </c:pt>
                <c:pt idx="4">
                  <c:v>72944.361999999994</c:v>
                </c:pt>
                <c:pt idx="5">
                  <c:v>48721.36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83-49B6-9800-2EF396E817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6257088"/>
        <c:axId val="496253728"/>
      </c:lineChart>
      <c:catAx>
        <c:axId val="49625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253728"/>
        <c:crosses val="autoZero"/>
        <c:auto val="1"/>
        <c:lblAlgn val="ctr"/>
        <c:lblOffset val="100"/>
        <c:noMultiLvlLbl val="0"/>
      </c:catAx>
      <c:valAx>
        <c:axId val="496253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R$ 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1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496257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43791</xdr:colOff>
      <xdr:row>1</xdr:row>
      <xdr:rowOff>4866</xdr:rowOff>
    </xdr:from>
    <xdr:to>
      <xdr:col>15</xdr:col>
      <xdr:colOff>90715</xdr:colOff>
      <xdr:row>8</xdr:row>
      <xdr:rowOff>8247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Vendedor">
              <a:extLst>
                <a:ext uri="{FF2B5EF4-FFF2-40B4-BE49-F238E27FC236}">
                  <a16:creationId xmlns:a16="http://schemas.microsoft.com/office/drawing/2014/main" id="{D3B95834-5286-D438-7641-24C54CB85F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727297" y="301749"/>
              <a:ext cx="2389002" cy="12733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24740</xdr:colOff>
      <xdr:row>11</xdr:row>
      <xdr:rowOff>11051</xdr:rowOff>
    </xdr:from>
    <xdr:to>
      <xdr:col>5</xdr:col>
      <xdr:colOff>650998</xdr:colOff>
      <xdr:row>17</xdr:row>
      <xdr:rowOff>16493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Região">
              <a:extLst>
                <a:ext uri="{FF2B5EF4-FFF2-40B4-BE49-F238E27FC236}">
                  <a16:creationId xmlns:a16="http://schemas.microsoft.com/office/drawing/2014/main" id="{106079D8-84F8-DDBC-5CC6-F101DFD2324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ã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72922" y="2122220"/>
              <a:ext cx="2440544" cy="117648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</xdr:colOff>
      <xdr:row>0</xdr:row>
      <xdr:rowOff>120650</xdr:rowOff>
    </xdr:from>
    <xdr:to>
      <xdr:col>11</xdr:col>
      <xdr:colOff>339725</xdr:colOff>
      <xdr:row>15</xdr:row>
      <xdr:rowOff>101600</xdr:rowOff>
    </xdr:to>
    <xdr:graphicFrame macro="">
      <xdr:nvGraphicFramePr>
        <xdr:cNvPr id="5" name="Gráfico 4" hidden="1">
          <a:extLst>
            <a:ext uri="{FF2B5EF4-FFF2-40B4-BE49-F238E27FC236}">
              <a16:creationId xmlns:a16="http://schemas.microsoft.com/office/drawing/2014/main" id="{35456498-7B1C-34F0-4244-CCE4C231DE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7</xdr:col>
      <xdr:colOff>958724</xdr:colOff>
      <xdr:row>22</xdr:row>
      <xdr:rowOff>12450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E4ADC93F-53E7-7F27-CA43-4EF2DE5121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1094407</xdr:colOff>
      <xdr:row>22</xdr:row>
      <xdr:rowOff>105689</xdr:rowOff>
    </xdr:from>
    <xdr:to>
      <xdr:col>19</xdr:col>
      <xdr:colOff>2303085</xdr:colOff>
      <xdr:row>42</xdr:row>
      <xdr:rowOff>16888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9FC97F1-73E5-4C4D-C6BB-D27F1ACE62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22</xdr:row>
      <xdr:rowOff>74832</xdr:rowOff>
    </xdr:from>
    <xdr:to>
      <xdr:col>7</xdr:col>
      <xdr:colOff>958725</xdr:colOff>
      <xdr:row>41</xdr:row>
      <xdr:rowOff>151531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FE7FA64-F03A-39A6-F1B7-473094DB2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1083236</xdr:colOff>
      <xdr:row>0</xdr:row>
      <xdr:rowOff>0</xdr:rowOff>
    </xdr:from>
    <xdr:to>
      <xdr:col>19</xdr:col>
      <xdr:colOff>2290981</xdr:colOff>
      <xdr:row>21</xdr:row>
      <xdr:rowOff>175163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51A26476-A912-B501-E010-E94476D1F6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26</xdr:col>
      <xdr:colOff>349158</xdr:colOff>
      <xdr:row>22</xdr:row>
      <xdr:rowOff>132663</xdr:rowOff>
    </xdr:from>
    <xdr:to>
      <xdr:col>30</xdr:col>
      <xdr:colOff>54041</xdr:colOff>
      <xdr:row>41</xdr:row>
      <xdr:rowOff>40530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1" name="Vendedor 1">
              <a:extLst>
                <a:ext uri="{FF2B5EF4-FFF2-40B4-BE49-F238E27FC236}">
                  <a16:creationId xmlns:a16="http://schemas.microsoft.com/office/drawing/2014/main" id="{FA49E0A1-897B-81D1-7F14-9259CD06CBA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Vendedor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55749" y="5183799"/>
              <a:ext cx="2793292" cy="347252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20</xdr:col>
      <xdr:colOff>18545</xdr:colOff>
      <xdr:row>22</xdr:row>
      <xdr:rowOff>83974</xdr:rowOff>
    </xdr:from>
    <xdr:to>
      <xdr:col>26</xdr:col>
      <xdr:colOff>256702</xdr:colOff>
      <xdr:row>42</xdr:row>
      <xdr:rowOff>1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7C0A3DE9-078D-A140-B709-D1D87083F0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317500</xdr:colOff>
      <xdr:row>60</xdr:row>
      <xdr:rowOff>0</xdr:rowOff>
    </xdr:from>
    <xdr:to>
      <xdr:col>64</xdr:col>
      <xdr:colOff>402167</xdr:colOff>
      <xdr:row>102</xdr:row>
      <xdr:rowOff>84667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51F388CC-3A03-002A-F218-D794602C5ACD}"/>
            </a:ext>
          </a:extLst>
        </xdr:cNvPr>
        <xdr:cNvSpPr/>
      </xdr:nvSpPr>
      <xdr:spPr>
        <a:xfrm>
          <a:off x="20320000" y="11239500"/>
          <a:ext cx="19113500" cy="8085667"/>
        </a:xfrm>
        <a:prstGeom prst="roundRect">
          <a:avLst/>
        </a:prstGeom>
        <a:solidFill>
          <a:schemeClr val="bg1">
            <a:alpha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47</xdr:col>
      <xdr:colOff>105833</xdr:colOff>
      <xdr:row>21</xdr:row>
      <xdr:rowOff>21167</xdr:rowOff>
    </xdr:from>
    <xdr:to>
      <xdr:col>63</xdr:col>
      <xdr:colOff>571500</xdr:colOff>
      <xdr:row>57</xdr:row>
      <xdr:rowOff>148167</xdr:rowOff>
    </xdr:to>
    <xdr:sp macro="" textlink="">
      <xdr:nvSpPr>
        <xdr:cNvPr id="13" name="Retângulo: Cantos Arredondados 12">
          <a:extLst>
            <a:ext uri="{FF2B5EF4-FFF2-40B4-BE49-F238E27FC236}">
              <a16:creationId xmlns:a16="http://schemas.microsoft.com/office/drawing/2014/main" id="{E5464BDB-048D-AE31-AC9E-CB2619902720}"/>
            </a:ext>
          </a:extLst>
        </xdr:cNvPr>
        <xdr:cNvSpPr/>
      </xdr:nvSpPr>
      <xdr:spPr>
        <a:xfrm>
          <a:off x="28702000" y="3831167"/>
          <a:ext cx="10287000" cy="6985000"/>
        </a:xfrm>
        <a:prstGeom prst="roundRect">
          <a:avLst/>
        </a:prstGeom>
        <a:solidFill>
          <a:schemeClr val="bg1">
            <a:alpha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105833</xdr:colOff>
      <xdr:row>60</xdr:row>
      <xdr:rowOff>84667</xdr:rowOff>
    </xdr:from>
    <xdr:to>
      <xdr:col>32</xdr:col>
      <xdr:colOff>571500</xdr:colOff>
      <xdr:row>104</xdr:row>
      <xdr:rowOff>148167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AFDB2D41-4113-2CE3-A22F-5A201DAD7717}"/>
            </a:ext>
          </a:extLst>
        </xdr:cNvPr>
        <xdr:cNvSpPr/>
      </xdr:nvSpPr>
      <xdr:spPr>
        <a:xfrm>
          <a:off x="105833" y="11324167"/>
          <a:ext cx="19854334" cy="8445500"/>
        </a:xfrm>
        <a:prstGeom prst="roundRect">
          <a:avLst/>
        </a:prstGeom>
        <a:solidFill>
          <a:schemeClr val="bg1">
            <a:alpha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23</xdr:col>
      <xdr:colOff>317500</xdr:colOff>
      <xdr:row>21</xdr:row>
      <xdr:rowOff>21167</xdr:rowOff>
    </xdr:from>
    <xdr:to>
      <xdr:col>46</xdr:col>
      <xdr:colOff>402167</xdr:colOff>
      <xdr:row>58</xdr:row>
      <xdr:rowOff>169333</xdr:rowOff>
    </xdr:to>
    <xdr:sp macro="" textlink="">
      <xdr:nvSpPr>
        <xdr:cNvPr id="11" name="Retângulo: Cantos Arredondados 10">
          <a:extLst>
            <a:ext uri="{FF2B5EF4-FFF2-40B4-BE49-F238E27FC236}">
              <a16:creationId xmlns:a16="http://schemas.microsoft.com/office/drawing/2014/main" id="{7BE8DC18-1ACF-D2AD-FBC2-B275FE8FD370}"/>
            </a:ext>
          </a:extLst>
        </xdr:cNvPr>
        <xdr:cNvSpPr/>
      </xdr:nvSpPr>
      <xdr:spPr>
        <a:xfrm>
          <a:off x="14181667" y="3831167"/>
          <a:ext cx="14202833" cy="7196666"/>
        </a:xfrm>
        <a:prstGeom prst="roundRect">
          <a:avLst/>
        </a:prstGeom>
        <a:solidFill>
          <a:schemeClr val="bg1">
            <a:alpha val="1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148167</xdr:colOff>
      <xdr:row>21</xdr:row>
      <xdr:rowOff>148167</xdr:rowOff>
    </xdr:from>
    <xdr:to>
      <xdr:col>23</xdr:col>
      <xdr:colOff>169333</xdr:colOff>
      <xdr:row>57</xdr:row>
      <xdr:rowOff>148167</xdr:rowOff>
    </xdr:to>
    <xdr:sp macro="" textlink="">
      <xdr:nvSpPr>
        <xdr:cNvPr id="10" name="Retângulo: Cantos Arredondados 9">
          <a:extLst>
            <a:ext uri="{FF2B5EF4-FFF2-40B4-BE49-F238E27FC236}">
              <a16:creationId xmlns:a16="http://schemas.microsoft.com/office/drawing/2014/main" id="{61B2D173-B579-32BB-6B8B-D38C26F2DD1B}"/>
            </a:ext>
          </a:extLst>
        </xdr:cNvPr>
        <xdr:cNvSpPr/>
      </xdr:nvSpPr>
      <xdr:spPr>
        <a:xfrm>
          <a:off x="148167" y="3958167"/>
          <a:ext cx="13885333" cy="6858000"/>
        </a:xfrm>
        <a:prstGeom prst="roundRect">
          <a:avLst/>
        </a:prstGeom>
        <a:solidFill>
          <a:schemeClr val="bg1">
            <a:alpha val="17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159807</xdr:colOff>
      <xdr:row>60</xdr:row>
      <xdr:rowOff>42334</xdr:rowOff>
    </xdr:from>
    <xdr:to>
      <xdr:col>32</xdr:col>
      <xdr:colOff>465665</xdr:colOff>
      <xdr:row>101</xdr:row>
      <xdr:rowOff>142274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714F371-FC91-43B6-B66E-EA1EA17276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33</xdr:col>
      <xdr:colOff>380998</xdr:colOff>
      <xdr:row>60</xdr:row>
      <xdr:rowOff>0</xdr:rowOff>
    </xdr:from>
    <xdr:to>
      <xdr:col>64</xdr:col>
      <xdr:colOff>105833</xdr:colOff>
      <xdr:row>101</xdr:row>
      <xdr:rowOff>154487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8DA36F86-3C22-4812-8C37-29803A9419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189928</xdr:colOff>
      <xdr:row>21</xdr:row>
      <xdr:rowOff>127000</xdr:rowOff>
    </xdr:from>
    <xdr:to>
      <xdr:col>23</xdr:col>
      <xdr:colOff>148166</xdr:colOff>
      <xdr:row>57</xdr:row>
      <xdr:rowOff>148166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A9FEFFA6-4F87-474A-B738-1E784B566E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317501</xdr:colOff>
      <xdr:row>21</xdr:row>
      <xdr:rowOff>148167</xdr:rowOff>
    </xdr:from>
    <xdr:to>
      <xdr:col>47</xdr:col>
      <xdr:colOff>190500</xdr:colOff>
      <xdr:row>57</xdr:row>
      <xdr:rowOff>21166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BC48824-5AF4-44AD-B51E-E3C86F7343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47</xdr:col>
      <xdr:colOff>507999</xdr:colOff>
      <xdr:row>21</xdr:row>
      <xdr:rowOff>105832</xdr:rowOff>
    </xdr:from>
    <xdr:to>
      <xdr:col>64</xdr:col>
      <xdr:colOff>21166</xdr:colOff>
      <xdr:row>57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6767769-627B-4954-9C21-B9AB28AE44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16</xdr:col>
      <xdr:colOff>359834</xdr:colOff>
      <xdr:row>5</xdr:row>
      <xdr:rowOff>63500</xdr:rowOff>
    </xdr:from>
    <xdr:to>
      <xdr:col>16</xdr:col>
      <xdr:colOff>359834</xdr:colOff>
      <xdr:row>14</xdr:row>
      <xdr:rowOff>42333</xdr:rowOff>
    </xdr:to>
    <xdr:cxnSp macro="">
      <xdr:nvCxnSpPr>
        <xdr:cNvPr id="25" name="Conector reto 24">
          <a:extLst>
            <a:ext uri="{FF2B5EF4-FFF2-40B4-BE49-F238E27FC236}">
              <a16:creationId xmlns:a16="http://schemas.microsoft.com/office/drawing/2014/main" id="{1F70CB54-904A-814A-A065-C5D5A4DBF803}"/>
            </a:ext>
          </a:extLst>
        </xdr:cNvPr>
        <xdr:cNvCxnSpPr/>
      </xdr:nvCxnSpPr>
      <xdr:spPr>
        <a:xfrm>
          <a:off x="9927167" y="825500"/>
          <a:ext cx="0" cy="1693333"/>
        </a:xfrm>
        <a:prstGeom prst="line">
          <a:avLst/>
        </a:prstGeom>
        <a:ln w="508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592666</xdr:colOff>
      <xdr:row>5</xdr:row>
      <xdr:rowOff>169333</xdr:rowOff>
    </xdr:from>
    <xdr:to>
      <xdr:col>32</xdr:col>
      <xdr:colOff>0</xdr:colOff>
      <xdr:row>14</xdr:row>
      <xdr:rowOff>42334</xdr:rowOff>
    </xdr:to>
    <xdr:cxnSp macro="">
      <xdr:nvCxnSpPr>
        <xdr:cNvPr id="27" name="Conector reto 26">
          <a:extLst>
            <a:ext uri="{FF2B5EF4-FFF2-40B4-BE49-F238E27FC236}">
              <a16:creationId xmlns:a16="http://schemas.microsoft.com/office/drawing/2014/main" id="{D12AAC36-FBBA-94AA-C0C8-CB103BCD7444}"/>
            </a:ext>
          </a:extLst>
        </xdr:cNvPr>
        <xdr:cNvCxnSpPr/>
      </xdr:nvCxnSpPr>
      <xdr:spPr>
        <a:xfrm flipH="1">
          <a:off x="19367499" y="931333"/>
          <a:ext cx="21168" cy="1587501"/>
        </a:xfrm>
        <a:prstGeom prst="line">
          <a:avLst/>
        </a:prstGeom>
        <a:ln w="508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46</xdr:col>
      <xdr:colOff>275167</xdr:colOff>
      <xdr:row>6</xdr:row>
      <xdr:rowOff>63500</xdr:rowOff>
    </xdr:from>
    <xdr:to>
      <xdr:col>46</xdr:col>
      <xdr:colOff>275167</xdr:colOff>
      <xdr:row>13</xdr:row>
      <xdr:rowOff>148167</xdr:rowOff>
    </xdr:to>
    <xdr:cxnSp macro="">
      <xdr:nvCxnSpPr>
        <xdr:cNvPr id="32" name="Conector reto 31">
          <a:extLst>
            <a:ext uri="{FF2B5EF4-FFF2-40B4-BE49-F238E27FC236}">
              <a16:creationId xmlns:a16="http://schemas.microsoft.com/office/drawing/2014/main" id="{DAAE89E4-2B20-EB4A-488E-4503AF330E07}"/>
            </a:ext>
          </a:extLst>
        </xdr:cNvPr>
        <xdr:cNvCxnSpPr/>
      </xdr:nvCxnSpPr>
      <xdr:spPr>
        <a:xfrm>
          <a:off x="28257500" y="1016000"/>
          <a:ext cx="0" cy="1418167"/>
        </a:xfrm>
        <a:prstGeom prst="line">
          <a:avLst/>
        </a:prstGeom>
        <a:ln w="508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enovo" refreshedDate="46097.641241898149" createdVersion="8" refreshedVersion="8" minRefreshableVersion="3" recordCount="200" xr:uid="{11AA60EF-25F5-4CC7-AFF7-517AC2BA585A}">
  <cacheSource type="worksheet">
    <worksheetSource ref="A1:K201" sheet="Base de Dados"/>
  </cacheSource>
  <cacheFields count="14">
    <cacheField name="ID Pedido" numFmtId="0">
      <sharedItems/>
    </cacheField>
    <cacheField name="Data" numFmtId="14">
      <sharedItems containsSemiMixedTypes="0" containsNonDate="0" containsDate="1" containsString="0" minDate="2024-01-03T00:00:00" maxDate="2025-06-29T00:00:00" count="169">
        <d v="2024-04-01T00:00:00"/>
        <d v="2024-03-19T00:00:00"/>
        <d v="2024-01-18T00:00:00"/>
        <d v="2024-06-23T00:00:00"/>
        <d v="2024-04-03T00:00:00"/>
        <d v="2025-03-18T00:00:00"/>
        <d v="2024-12-19T00:00:00"/>
        <d v="2024-08-28T00:00:00"/>
        <d v="2024-12-12T00:00:00"/>
        <d v="2024-06-18T00:00:00"/>
        <d v="2024-08-22T00:00:00"/>
        <d v="2024-09-03T00:00:00"/>
        <d v="2025-03-05T00:00:00"/>
        <d v="2025-02-19T00:00:00"/>
        <d v="2024-04-05T00:00:00"/>
        <d v="2025-03-17T00:00:00"/>
        <d v="2024-09-25T00:00:00"/>
        <d v="2024-09-17T00:00:00"/>
        <d v="2024-07-05T00:00:00"/>
        <d v="2024-11-16T00:00:00"/>
        <d v="2024-08-02T00:00:00"/>
        <d v="2025-06-25T00:00:00"/>
        <d v="2025-05-28T00:00:00"/>
        <d v="2024-10-13T00:00:00"/>
        <d v="2024-08-03T00:00:00"/>
        <d v="2024-03-23T00:00:00"/>
        <d v="2024-03-17T00:00:00"/>
        <d v="2025-04-08T00:00:00"/>
        <d v="2025-02-14T00:00:00"/>
        <d v="2025-01-24T00:00:00"/>
        <d v="2025-02-06T00:00:00"/>
        <d v="2024-04-02T00:00:00"/>
        <d v="2024-06-14T00:00:00"/>
        <d v="2025-01-01T00:00:00"/>
        <d v="2025-04-05T00:00:00"/>
        <d v="2024-11-02T00:00:00"/>
        <d v="2024-02-17T00:00:00"/>
        <d v="2025-01-04T00:00:00"/>
        <d v="2025-05-11T00:00:00"/>
        <d v="2024-05-22T00:00:00"/>
        <d v="2025-03-20T00:00:00"/>
        <d v="2024-12-03T00:00:00"/>
        <d v="2025-05-01T00:00:00"/>
        <d v="2024-04-04T00:00:00"/>
        <d v="2024-07-22T00:00:00"/>
        <d v="2024-03-21T00:00:00"/>
        <d v="2024-06-24T00:00:00"/>
        <d v="2024-05-18T00:00:00"/>
        <d v="2024-10-12T00:00:00"/>
        <d v="2025-06-28T00:00:00"/>
        <d v="2024-09-06T00:00:00"/>
        <d v="2024-07-27T00:00:00"/>
        <d v="2024-01-22T00:00:00"/>
        <d v="2024-12-21T00:00:00"/>
        <d v="2025-02-20T00:00:00"/>
        <d v="2025-02-01T00:00:00"/>
        <d v="2024-12-14T00:00:00"/>
        <d v="2025-05-10T00:00:00"/>
        <d v="2024-07-14T00:00:00"/>
        <d v="2024-11-15T00:00:00"/>
        <d v="2024-03-10T00:00:00"/>
        <d v="2024-10-08T00:00:00"/>
        <d v="2024-03-15T00:00:00"/>
        <d v="2024-08-05T00:00:00"/>
        <d v="2025-03-02T00:00:00"/>
        <d v="2025-06-20T00:00:00"/>
        <d v="2025-06-15T00:00:00"/>
        <d v="2025-05-16T00:00:00"/>
        <d v="2024-09-11T00:00:00"/>
        <d v="2024-07-03T00:00:00"/>
        <d v="2025-02-13T00:00:00"/>
        <d v="2025-01-28T00:00:00"/>
        <d v="2024-06-27T00:00:00"/>
        <d v="2024-01-03T00:00:00"/>
        <d v="2025-01-11T00:00:00"/>
        <d v="2025-02-09T00:00:00"/>
        <d v="2024-03-25T00:00:00"/>
        <d v="2024-05-08T00:00:00"/>
        <d v="2024-06-10T00:00:00"/>
        <d v="2025-01-23T00:00:00"/>
        <d v="2024-10-28T00:00:00"/>
        <d v="2024-12-18T00:00:00"/>
        <d v="2025-04-04T00:00:00"/>
        <d v="2025-03-14T00:00:00"/>
        <d v="2024-09-15T00:00:00"/>
        <d v="2025-04-28T00:00:00"/>
        <d v="2024-09-20T00:00:00"/>
        <d v="2024-08-24T00:00:00"/>
        <d v="2025-03-26T00:00:00"/>
        <d v="2024-12-16T00:00:00"/>
        <d v="2024-12-23T00:00:00"/>
        <d v="2024-11-04T00:00:00"/>
        <d v="2024-09-24T00:00:00"/>
        <d v="2024-02-02T00:00:00"/>
        <d v="2024-04-28T00:00:00"/>
        <d v="2024-02-09T00:00:00"/>
        <d v="2024-05-05T00:00:00"/>
        <d v="2024-08-25T00:00:00"/>
        <d v="2025-02-10T00:00:00"/>
        <d v="2024-07-09T00:00:00"/>
        <d v="2024-01-14T00:00:00"/>
        <d v="2025-03-03T00:00:00"/>
        <d v="2025-02-04T00:00:00"/>
        <d v="2024-03-02T00:00:00"/>
        <d v="2024-04-15T00:00:00"/>
        <d v="2025-04-15T00:00:00"/>
        <d v="2024-09-01T00:00:00"/>
        <d v="2024-09-19T00:00:00"/>
        <d v="2025-02-21T00:00:00"/>
        <d v="2024-06-11T00:00:00"/>
        <d v="2024-02-15T00:00:00"/>
        <d v="2025-05-27T00:00:00"/>
        <d v="2025-04-21T00:00:00"/>
        <d v="2025-06-14T00:00:00"/>
        <d v="2025-04-23T00:00:00"/>
        <d v="2024-08-15T00:00:00"/>
        <d v="2024-03-09T00:00:00"/>
        <d v="2025-01-15T00:00:00"/>
        <d v="2024-02-11T00:00:00"/>
        <d v="2025-04-02T00:00:00"/>
        <d v="2024-04-17T00:00:00"/>
        <d v="2024-03-16T00:00:00"/>
        <d v="2025-06-13T00:00:00"/>
        <d v="2025-03-06T00:00:00"/>
        <d v="2024-06-06T00:00:00"/>
        <d v="2024-10-22T00:00:00"/>
        <d v="2025-02-23T00:00:00"/>
        <d v="2024-04-08T00:00:00"/>
        <d v="2024-01-27T00:00:00"/>
        <d v="2025-04-27T00:00:00"/>
        <d v="2024-09-22T00:00:00"/>
        <d v="2024-10-26T00:00:00"/>
        <d v="2024-11-24T00:00:00"/>
        <d v="2025-05-09T00:00:00"/>
        <d v="2025-06-12T00:00:00"/>
        <d v="2025-06-11T00:00:00"/>
        <d v="2024-08-18T00:00:00"/>
        <d v="2024-04-22T00:00:00"/>
        <d v="2024-02-26T00:00:00"/>
        <d v="2024-07-19T00:00:00"/>
        <d v="2024-09-28T00:00:00"/>
        <d v="2024-05-01T00:00:00"/>
        <d v="2024-05-24T00:00:00"/>
        <d v="2025-05-19T00:00:00"/>
        <d v="2024-10-15T00:00:00"/>
        <d v="2024-04-11T00:00:00"/>
        <d v="2024-03-03T00:00:00"/>
        <d v="2025-06-02T00:00:00"/>
        <d v="2025-02-28T00:00:00"/>
        <d v="2025-05-07T00:00:00"/>
        <d v="2024-12-04T00:00:00"/>
        <d v="2025-06-01T00:00:00"/>
        <d v="2024-11-12T00:00:00"/>
        <d v="2024-12-10T00:00:00"/>
        <d v="2024-06-25T00:00:00"/>
        <d v="2025-04-20T00:00:00"/>
        <d v="2025-01-20T00:00:00"/>
        <d v="2024-09-10T00:00:00"/>
        <d v="2025-01-18T00:00:00"/>
        <d v="2024-03-13T00:00:00"/>
        <d v="2025-03-27T00:00:00"/>
        <d v="2025-01-17T00:00:00"/>
        <d v="2024-12-24T00:00:00"/>
        <d v="2024-05-25T00:00:00"/>
        <d v="2025-03-22T00:00:00"/>
        <d v="2024-12-17T00:00:00"/>
        <d v="2025-03-04T00:00:00"/>
        <d v="2025-02-25T00:00:00"/>
        <d v="2024-05-11T00:00:00"/>
      </sharedItems>
      <fieldGroup par="13"/>
    </cacheField>
    <cacheField name="Vendedor" numFmtId="0">
      <sharedItems count="6">
        <s v="Pedro Alves"/>
        <s v="João Silva"/>
        <s v="Carlos Souza"/>
        <s v="Ana Lima"/>
        <s v="Fernanda Costa"/>
        <s v="Mariana Rocha"/>
      </sharedItems>
    </cacheField>
    <cacheField name="Região" numFmtId="0">
      <sharedItems count="5">
        <s v="Sudeste"/>
        <s v="Norte"/>
        <s v="Nordeste"/>
        <s v="Centro-Oeste"/>
        <s v="Sul"/>
      </sharedItems>
    </cacheField>
    <cacheField name="Produto" numFmtId="0">
      <sharedItems/>
    </cacheField>
    <cacheField name="Categoria" numFmtId="0">
      <sharedItems count="5">
        <s v="Periféricos"/>
        <s v="Eletrônicos"/>
        <s v="Móveis"/>
        <s v="Acessórios"/>
        <s v="Armazenamento"/>
      </sharedItems>
    </cacheField>
    <cacheField name="Qtd" numFmtId="0">
      <sharedItems containsSemiMixedTypes="0" containsString="0" containsNumber="1" containsInteger="1" minValue="1" maxValue="15"/>
    </cacheField>
    <cacheField name="Preço Unit (R$)" numFmtId="164">
      <sharedItems containsSemiMixedTypes="0" containsString="0" containsNumber="1" minValue="42.65" maxValue="3676.74"/>
    </cacheField>
    <cacheField name="Desconto (%)" numFmtId="165">
      <sharedItems containsSemiMixedTypes="0" containsString="0" containsNumber="1" containsInteger="1" minValue="0" maxValue="20"/>
    </cacheField>
    <cacheField name="Total (R$)" numFmtId="164">
      <sharedItems containsSemiMixedTypes="0" containsString="0" containsNumber="1" minValue="108.75749999999999" maxValue="48384.299999999996"/>
    </cacheField>
    <cacheField name="Status" numFmtId="0">
      <sharedItems/>
    </cacheField>
    <cacheField name="Meses (Data)" numFmtId="0" databaseField="0">
      <fieldGroup base="1">
        <rangePr groupBy="months" startDate="2024-01-03T00:00:00" endDate="2025-06-29T00:00:00"/>
        <groupItems count="14">
          <s v="&lt;03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29/06/2025"/>
        </groupItems>
      </fieldGroup>
    </cacheField>
    <cacheField name="Trimestres (Data)" numFmtId="0" databaseField="0">
      <fieldGroup base="1">
        <rangePr groupBy="quarters" startDate="2024-01-03T00:00:00" endDate="2025-06-29T00:00:00"/>
        <groupItems count="6">
          <s v="&lt;03/01/2024"/>
          <s v="Trim1"/>
          <s v="Trim2"/>
          <s v="Trim3"/>
          <s v="Trim4"/>
          <s v="&gt;29/06/2025"/>
        </groupItems>
      </fieldGroup>
    </cacheField>
    <cacheField name="Anos (Data)" numFmtId="0" databaseField="0">
      <fieldGroup base="1">
        <rangePr groupBy="years" startDate="2024-01-03T00:00:00" endDate="2025-06-29T00:00:00"/>
        <groupItems count="4">
          <s v="&lt;03/01/2024"/>
          <s v="2024"/>
          <s v="2025"/>
          <s v="&gt;29/06/2025"/>
        </groupItems>
      </fieldGroup>
    </cacheField>
  </cacheFields>
  <extLst>
    <ext xmlns:x14="http://schemas.microsoft.com/office/spreadsheetml/2009/9/main" uri="{725AE2AE-9491-48be-B2B4-4EB974FC3084}">
      <x14:pivotCacheDefinition pivotCacheId="19480144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PED-0001"/>
    <x v="0"/>
    <x v="0"/>
    <x v="0"/>
    <s v="Mouse Logitech MX"/>
    <x v="0"/>
    <n v="4"/>
    <n v="271.12"/>
    <n v="0"/>
    <n v="1084.48"/>
    <s v="Cancelado"/>
  </r>
  <r>
    <s v="PED-0002"/>
    <x v="1"/>
    <x v="1"/>
    <x v="1"/>
    <s v="Notebook Dell Inspiron"/>
    <x v="1"/>
    <n v="2"/>
    <n v="3054.91"/>
    <n v="10"/>
    <n v="5498.8379999999997"/>
    <s v="Concluído"/>
  </r>
  <r>
    <s v="PED-0003"/>
    <x v="2"/>
    <x v="2"/>
    <x v="2"/>
    <s v="Headset Sony"/>
    <x v="1"/>
    <n v="4"/>
    <n v="526.4"/>
    <n v="0"/>
    <n v="2105.6"/>
    <s v="Concluído"/>
  </r>
  <r>
    <s v="PED-0004"/>
    <x v="3"/>
    <x v="1"/>
    <x v="0"/>
    <s v="Cadeira Gamer"/>
    <x v="2"/>
    <n v="3"/>
    <n v="1716.89"/>
    <n v="20"/>
    <n v="4120.5360000000001"/>
    <s v="Concluído"/>
  </r>
  <r>
    <s v="PED-0005"/>
    <x v="4"/>
    <x v="1"/>
    <x v="1"/>
    <s v="Mesa Escritório L"/>
    <x v="2"/>
    <n v="14"/>
    <n v="1183.19"/>
    <n v="0"/>
    <n v="16564.66"/>
    <s v="Concluído"/>
  </r>
  <r>
    <s v="PED-0006"/>
    <x v="5"/>
    <x v="3"/>
    <x v="3"/>
    <s v="Monitor LG 24&quot;"/>
    <x v="1"/>
    <n v="9"/>
    <n v="924.63"/>
    <n v="15"/>
    <n v="7073.4195"/>
    <s v="Cancelado"/>
  </r>
  <r>
    <s v="PED-0007"/>
    <x v="6"/>
    <x v="2"/>
    <x v="1"/>
    <s v="Notebook Dell Inspiron"/>
    <x v="1"/>
    <n v="11"/>
    <n v="3062.32"/>
    <n v="0"/>
    <n v="33685.520000000004"/>
    <s v="Concluído"/>
  </r>
  <r>
    <s v="PED-0008"/>
    <x v="7"/>
    <x v="3"/>
    <x v="3"/>
    <s v="Cadeira Gamer"/>
    <x v="2"/>
    <n v="8"/>
    <n v="1906.06"/>
    <n v="0"/>
    <n v="15248.48"/>
    <s v="Concluído"/>
  </r>
  <r>
    <s v="PED-0009"/>
    <x v="8"/>
    <x v="2"/>
    <x v="0"/>
    <s v="Cabo HDMI 2m"/>
    <x v="3"/>
    <n v="15"/>
    <n v="48.19"/>
    <n v="0"/>
    <n v="722.84999999999991"/>
    <s v="Cancelado"/>
  </r>
  <r>
    <s v="PED-0010"/>
    <x v="9"/>
    <x v="0"/>
    <x v="4"/>
    <s v="Teclado Mecânico"/>
    <x v="0"/>
    <n v="8"/>
    <n v="378.05"/>
    <n v="15"/>
    <n v="2570.7400000000002"/>
    <s v="Cancelado"/>
  </r>
  <r>
    <s v="PED-0011"/>
    <x v="10"/>
    <x v="4"/>
    <x v="1"/>
    <s v="Mouse Logitech MX"/>
    <x v="0"/>
    <n v="14"/>
    <n v="263.33"/>
    <n v="0"/>
    <n v="3686.62"/>
    <s v="Pendente"/>
  </r>
  <r>
    <s v="PED-0012"/>
    <x v="11"/>
    <x v="2"/>
    <x v="2"/>
    <s v="Cabo HDMI 2m"/>
    <x v="3"/>
    <n v="6"/>
    <n v="42.89"/>
    <n v="5"/>
    <n v="244.47300000000001"/>
    <s v="Pendente"/>
  </r>
  <r>
    <s v="PED-0013"/>
    <x v="12"/>
    <x v="4"/>
    <x v="4"/>
    <s v="Mouse Logitech MX"/>
    <x v="0"/>
    <n v="12"/>
    <n v="301.7"/>
    <n v="0"/>
    <n v="3620.3999999999996"/>
    <s v="Cancelado"/>
  </r>
  <r>
    <s v="PED-0014"/>
    <x v="13"/>
    <x v="1"/>
    <x v="0"/>
    <s v="Mouse Logitech MX"/>
    <x v="0"/>
    <n v="3"/>
    <n v="297.94"/>
    <n v="0"/>
    <n v="893.81999999999994"/>
    <s v="Concluído"/>
  </r>
  <r>
    <s v="PED-0015"/>
    <x v="14"/>
    <x v="0"/>
    <x v="4"/>
    <s v="Impressora HP"/>
    <x v="1"/>
    <n v="7"/>
    <n v="818.3"/>
    <n v="5"/>
    <n v="5441.6949999999988"/>
    <s v="Pendente"/>
  </r>
  <r>
    <s v="PED-0016"/>
    <x v="15"/>
    <x v="4"/>
    <x v="2"/>
    <s v="Notebook Dell Inspiron"/>
    <x v="1"/>
    <n v="11"/>
    <n v="3456.58"/>
    <n v="15"/>
    <n v="32319.022999999997"/>
    <s v="Cancelado"/>
  </r>
  <r>
    <s v="PED-0017"/>
    <x v="16"/>
    <x v="0"/>
    <x v="0"/>
    <s v="Monitor LG 24&quot;"/>
    <x v="1"/>
    <n v="5"/>
    <n v="958.26"/>
    <n v="5"/>
    <n v="4551.7349999999997"/>
    <s v="Concluído"/>
  </r>
  <r>
    <s v="PED-0018"/>
    <x v="17"/>
    <x v="2"/>
    <x v="2"/>
    <s v="Monitor LG 24&quot;"/>
    <x v="1"/>
    <n v="14"/>
    <n v="1003.51"/>
    <n v="20"/>
    <n v="11239.312"/>
    <s v="Cancelado"/>
  </r>
  <r>
    <s v="PED-0019"/>
    <x v="18"/>
    <x v="4"/>
    <x v="4"/>
    <s v="HD Externo 1TB"/>
    <x v="4"/>
    <n v="13"/>
    <n v="350.49"/>
    <n v="0"/>
    <n v="4556.37"/>
    <s v="Cancelado"/>
  </r>
  <r>
    <s v="PED-0020"/>
    <x v="19"/>
    <x v="3"/>
    <x v="1"/>
    <s v="Mesa Escritório L"/>
    <x v="2"/>
    <n v="15"/>
    <n v="1375.6"/>
    <n v="20"/>
    <n v="16507.2"/>
    <s v="Concluído"/>
  </r>
  <r>
    <s v="PED-0021"/>
    <x v="20"/>
    <x v="2"/>
    <x v="2"/>
    <s v="Monitor LG 24&quot;"/>
    <x v="1"/>
    <n v="2"/>
    <n v="1028.83"/>
    <n v="20"/>
    <n v="1646.1279999999999"/>
    <s v="Concluído"/>
  </r>
  <r>
    <s v="PED-0022"/>
    <x v="21"/>
    <x v="2"/>
    <x v="4"/>
    <s v="Impressora HP"/>
    <x v="1"/>
    <n v="8"/>
    <n v="886.64"/>
    <n v="0"/>
    <n v="7093.12"/>
    <s v="Concluído"/>
  </r>
  <r>
    <s v="PED-0023"/>
    <x v="22"/>
    <x v="5"/>
    <x v="3"/>
    <s v="Mouse Logitech MX"/>
    <x v="0"/>
    <n v="15"/>
    <n v="300.10000000000002"/>
    <n v="15"/>
    <n v="3826.2750000000001"/>
    <s v="Concluído"/>
  </r>
  <r>
    <s v="PED-0024"/>
    <x v="23"/>
    <x v="0"/>
    <x v="0"/>
    <s v="Webcam Logitech"/>
    <x v="0"/>
    <n v="15"/>
    <n v="349.99"/>
    <n v="0"/>
    <n v="5249.85"/>
    <s v="Concluído"/>
  </r>
  <r>
    <s v="PED-0025"/>
    <x v="24"/>
    <x v="4"/>
    <x v="1"/>
    <s v="SSD 500GB"/>
    <x v="4"/>
    <n v="9"/>
    <n v="402.16"/>
    <n v="0"/>
    <n v="3619.44"/>
    <s v="Concluído"/>
  </r>
  <r>
    <s v="PED-0026"/>
    <x v="25"/>
    <x v="0"/>
    <x v="1"/>
    <s v="Mouse Logitech MX"/>
    <x v="0"/>
    <n v="2"/>
    <n v="326.64"/>
    <n v="20"/>
    <n v="522.62400000000002"/>
    <s v="Concluído"/>
  </r>
  <r>
    <s v="PED-0027"/>
    <x v="26"/>
    <x v="2"/>
    <x v="0"/>
    <s v="Impressora HP"/>
    <x v="1"/>
    <n v="8"/>
    <n v="743.78"/>
    <n v="0"/>
    <n v="5950.24"/>
    <s v="Cancelado"/>
  </r>
  <r>
    <s v="PED-0028"/>
    <x v="27"/>
    <x v="1"/>
    <x v="3"/>
    <s v="Mouse Logitech MX"/>
    <x v="0"/>
    <n v="2"/>
    <n v="268.02999999999997"/>
    <n v="5"/>
    <n v="509.25699999999995"/>
    <s v="Concluído"/>
  </r>
  <r>
    <s v="PED-0029"/>
    <x v="28"/>
    <x v="1"/>
    <x v="1"/>
    <s v="Impressora HP"/>
    <x v="1"/>
    <n v="11"/>
    <n v="893.91"/>
    <n v="0"/>
    <n v="9833.01"/>
    <s v="Concluído"/>
  </r>
  <r>
    <s v="PED-0030"/>
    <x v="29"/>
    <x v="4"/>
    <x v="1"/>
    <s v="Mouse Logitech MX"/>
    <x v="0"/>
    <n v="4"/>
    <n v="274.79000000000002"/>
    <n v="5"/>
    <n v="1044.202"/>
    <s v="Concluído"/>
  </r>
  <r>
    <s v="PED-0031"/>
    <x v="30"/>
    <x v="4"/>
    <x v="3"/>
    <s v="Mouse Logitech MX"/>
    <x v="0"/>
    <n v="14"/>
    <n v="327.94"/>
    <n v="5"/>
    <n v="4361.6019999999999"/>
    <s v="Cancelado"/>
  </r>
  <r>
    <s v="PED-0032"/>
    <x v="31"/>
    <x v="0"/>
    <x v="2"/>
    <s v="Notebook Dell Inspiron"/>
    <x v="1"/>
    <n v="2"/>
    <n v="3621.09"/>
    <n v="20"/>
    <n v="5793.7440000000006"/>
    <s v="Concluído"/>
  </r>
  <r>
    <s v="PED-0033"/>
    <x v="32"/>
    <x v="1"/>
    <x v="3"/>
    <s v="Mouse Logitech MX"/>
    <x v="0"/>
    <n v="14"/>
    <n v="290.08"/>
    <n v="0"/>
    <n v="4061.12"/>
    <s v="Concluído"/>
  </r>
  <r>
    <s v="PED-0034"/>
    <x v="33"/>
    <x v="1"/>
    <x v="0"/>
    <s v="Webcam Logitech"/>
    <x v="0"/>
    <n v="5"/>
    <n v="341.96"/>
    <n v="15"/>
    <n v="1453.33"/>
    <s v="Cancelado"/>
  </r>
  <r>
    <s v="PED-0035"/>
    <x v="34"/>
    <x v="2"/>
    <x v="0"/>
    <s v="Mouse Logitech MX"/>
    <x v="0"/>
    <n v="1"/>
    <n v="302.99"/>
    <n v="10"/>
    <n v="272.69100000000003"/>
    <s v="Concluído"/>
  </r>
  <r>
    <s v="PED-0036"/>
    <x v="35"/>
    <x v="3"/>
    <x v="2"/>
    <s v="Webcam Logitech"/>
    <x v="0"/>
    <n v="9"/>
    <n v="384.15"/>
    <n v="10"/>
    <n v="3111.6149999999998"/>
    <s v="Concluído"/>
  </r>
  <r>
    <s v="PED-0037"/>
    <x v="36"/>
    <x v="3"/>
    <x v="4"/>
    <s v="Monitor LG 24&quot;"/>
    <x v="1"/>
    <n v="10"/>
    <n v="871.14"/>
    <n v="20"/>
    <n v="6969.12"/>
    <s v="Concluído"/>
  </r>
  <r>
    <s v="PED-0038"/>
    <x v="37"/>
    <x v="5"/>
    <x v="4"/>
    <s v="SSD 500GB"/>
    <x v="4"/>
    <n v="10"/>
    <n v="382.17"/>
    <n v="0"/>
    <n v="3821.7000000000003"/>
    <s v="Pendente"/>
  </r>
  <r>
    <s v="PED-0039"/>
    <x v="38"/>
    <x v="4"/>
    <x v="4"/>
    <s v="Impressora HP"/>
    <x v="1"/>
    <n v="12"/>
    <n v="763.27"/>
    <n v="0"/>
    <n v="9159.24"/>
    <s v="Pendente"/>
  </r>
  <r>
    <s v="PED-0040"/>
    <x v="39"/>
    <x v="0"/>
    <x v="0"/>
    <s v="Webcam Logitech"/>
    <x v="0"/>
    <n v="6"/>
    <n v="384.97"/>
    <n v="0"/>
    <n v="2309.8200000000002"/>
    <s v="Concluído"/>
  </r>
  <r>
    <s v="PED-0041"/>
    <x v="40"/>
    <x v="5"/>
    <x v="1"/>
    <s v="Monitor LG 24&quot;"/>
    <x v="1"/>
    <n v="9"/>
    <n v="905.62"/>
    <n v="0"/>
    <n v="8150.58"/>
    <s v="Concluído"/>
  </r>
  <r>
    <s v="PED-0042"/>
    <x v="41"/>
    <x v="2"/>
    <x v="0"/>
    <s v="Cadeira Gamer"/>
    <x v="2"/>
    <n v="3"/>
    <n v="1817.18"/>
    <n v="10"/>
    <n v="4906.3860000000004"/>
    <s v="Concluído"/>
  </r>
  <r>
    <s v="PED-0043"/>
    <x v="42"/>
    <x v="0"/>
    <x v="2"/>
    <s v="Cadeira Gamer"/>
    <x v="2"/>
    <n v="15"/>
    <n v="1918.52"/>
    <n v="0"/>
    <n v="28777.8"/>
    <s v="Concluído"/>
  </r>
  <r>
    <s v="PED-0044"/>
    <x v="43"/>
    <x v="0"/>
    <x v="2"/>
    <s v="Teclado Mecânico"/>
    <x v="0"/>
    <n v="5"/>
    <n v="368.77"/>
    <n v="0"/>
    <n v="1843.85"/>
    <s v="Concluído"/>
  </r>
  <r>
    <s v="PED-0045"/>
    <x v="44"/>
    <x v="0"/>
    <x v="0"/>
    <s v="HD Externo 1TB"/>
    <x v="4"/>
    <n v="8"/>
    <n v="298.45999999999998"/>
    <n v="20"/>
    <n v="1910.144"/>
    <s v="Concluído"/>
  </r>
  <r>
    <s v="PED-0046"/>
    <x v="45"/>
    <x v="1"/>
    <x v="0"/>
    <s v="Notebook Dell Inspiron"/>
    <x v="1"/>
    <n v="1"/>
    <n v="3146.85"/>
    <n v="0"/>
    <n v="3146.85"/>
    <s v="Concluído"/>
  </r>
  <r>
    <s v="PED-0047"/>
    <x v="46"/>
    <x v="1"/>
    <x v="2"/>
    <s v="Cabo HDMI 2m"/>
    <x v="3"/>
    <n v="7"/>
    <n v="46.81"/>
    <n v="0"/>
    <n v="327.67"/>
    <s v="Concluído"/>
  </r>
  <r>
    <s v="PED-0048"/>
    <x v="47"/>
    <x v="3"/>
    <x v="0"/>
    <s v="SSD 500GB"/>
    <x v="4"/>
    <n v="9"/>
    <n v="393.55"/>
    <n v="0"/>
    <n v="3541.9500000000003"/>
    <s v="Concluído"/>
  </r>
  <r>
    <s v="PED-0049"/>
    <x v="48"/>
    <x v="3"/>
    <x v="0"/>
    <s v="Mouse Logitech MX"/>
    <x v="0"/>
    <n v="11"/>
    <n v="279.08999999999997"/>
    <n v="0"/>
    <n v="3069.99"/>
    <s v="Concluído"/>
  </r>
  <r>
    <s v="PED-0050"/>
    <x v="49"/>
    <x v="1"/>
    <x v="2"/>
    <s v="Cabo HDMI 2m"/>
    <x v="3"/>
    <n v="3"/>
    <n v="50.91"/>
    <n v="0"/>
    <n v="152.72999999999999"/>
    <s v="Concluído"/>
  </r>
  <r>
    <s v="PED-0051"/>
    <x v="32"/>
    <x v="3"/>
    <x v="4"/>
    <s v="Cabo HDMI 2m"/>
    <x v="3"/>
    <n v="15"/>
    <n v="44.24"/>
    <n v="5"/>
    <n v="630.41999999999996"/>
    <s v="Concluído"/>
  </r>
  <r>
    <s v="PED-0052"/>
    <x v="50"/>
    <x v="0"/>
    <x v="1"/>
    <s v="Headset Sony"/>
    <x v="1"/>
    <n v="14"/>
    <n v="473.03"/>
    <n v="5"/>
    <n v="6291.299"/>
    <s v="Concluído"/>
  </r>
  <r>
    <s v="PED-0053"/>
    <x v="51"/>
    <x v="1"/>
    <x v="0"/>
    <s v="Cadeira Gamer"/>
    <x v="2"/>
    <n v="14"/>
    <n v="1977.91"/>
    <n v="0"/>
    <n v="27690.74"/>
    <s v="Concluído"/>
  </r>
  <r>
    <s v="PED-0054"/>
    <x v="52"/>
    <x v="2"/>
    <x v="3"/>
    <s v="Mesa Escritório L"/>
    <x v="2"/>
    <n v="5"/>
    <n v="1339.31"/>
    <n v="20"/>
    <n v="5357.24"/>
    <s v="Concluído"/>
  </r>
  <r>
    <s v="PED-0055"/>
    <x v="53"/>
    <x v="5"/>
    <x v="3"/>
    <s v="Impressora HP"/>
    <x v="1"/>
    <n v="14"/>
    <n v="806.56"/>
    <n v="0"/>
    <n v="11291.84"/>
    <s v="Concluído"/>
  </r>
  <r>
    <s v="PED-0056"/>
    <x v="50"/>
    <x v="5"/>
    <x v="0"/>
    <s v="Notebook Dell Inspiron"/>
    <x v="1"/>
    <n v="2"/>
    <n v="3357.26"/>
    <n v="0"/>
    <n v="6714.52"/>
    <s v="Concluído"/>
  </r>
  <r>
    <s v="PED-0057"/>
    <x v="54"/>
    <x v="5"/>
    <x v="1"/>
    <s v="Headset Sony"/>
    <x v="1"/>
    <n v="15"/>
    <n v="542.96"/>
    <n v="0"/>
    <n v="8144.4000000000005"/>
    <s v="Concluído"/>
  </r>
  <r>
    <s v="PED-0058"/>
    <x v="55"/>
    <x v="5"/>
    <x v="2"/>
    <s v="Impressora HP"/>
    <x v="1"/>
    <n v="12"/>
    <n v="885.35"/>
    <n v="15"/>
    <n v="9030.57"/>
    <s v="Concluído"/>
  </r>
  <r>
    <s v="PED-0059"/>
    <x v="56"/>
    <x v="3"/>
    <x v="0"/>
    <s v="SSD 500GB"/>
    <x v="4"/>
    <n v="6"/>
    <n v="447.66"/>
    <n v="0"/>
    <n v="2685.96"/>
    <s v="Concluído"/>
  </r>
  <r>
    <s v="PED-0060"/>
    <x v="57"/>
    <x v="0"/>
    <x v="3"/>
    <s v="Mesa Escritório L"/>
    <x v="2"/>
    <n v="7"/>
    <n v="1289.1600000000001"/>
    <n v="10"/>
    <n v="8121.7080000000005"/>
    <s v="Concluído"/>
  </r>
  <r>
    <s v="PED-0061"/>
    <x v="58"/>
    <x v="0"/>
    <x v="3"/>
    <s v="Impressora HP"/>
    <x v="1"/>
    <n v="12"/>
    <n v="878.05"/>
    <n v="10"/>
    <n v="9482.9399999999987"/>
    <s v="Cancelado"/>
  </r>
  <r>
    <s v="PED-0062"/>
    <x v="23"/>
    <x v="5"/>
    <x v="1"/>
    <s v="Cadeira Gamer"/>
    <x v="2"/>
    <n v="5"/>
    <n v="1714.58"/>
    <n v="20"/>
    <n v="6858.32"/>
    <s v="Cancelado"/>
  </r>
  <r>
    <s v="PED-0063"/>
    <x v="59"/>
    <x v="1"/>
    <x v="3"/>
    <s v="Impressora HP"/>
    <x v="1"/>
    <n v="4"/>
    <n v="801.68"/>
    <n v="20"/>
    <n v="2565.3760000000002"/>
    <s v="Concluído"/>
  </r>
  <r>
    <s v="PED-0064"/>
    <x v="60"/>
    <x v="5"/>
    <x v="2"/>
    <s v="Mesa Escritório L"/>
    <x v="2"/>
    <n v="2"/>
    <n v="1325.53"/>
    <n v="20"/>
    <n v="2120.848"/>
    <s v="Concluído"/>
  </r>
  <r>
    <s v="PED-0065"/>
    <x v="61"/>
    <x v="2"/>
    <x v="4"/>
    <s v="Notebook Dell Inspiron"/>
    <x v="1"/>
    <n v="1"/>
    <n v="3075.87"/>
    <n v="5"/>
    <n v="2922.0764999999997"/>
    <s v="Cancelado"/>
  </r>
  <r>
    <s v="PED-0066"/>
    <x v="62"/>
    <x v="1"/>
    <x v="2"/>
    <s v="Mouse Logitech MX"/>
    <x v="0"/>
    <n v="12"/>
    <n v="311.49"/>
    <n v="5"/>
    <n v="3550.9859999999999"/>
    <s v="Pendente"/>
  </r>
  <r>
    <s v="PED-0067"/>
    <x v="63"/>
    <x v="0"/>
    <x v="1"/>
    <s v="Monitor LG 24&quot;"/>
    <x v="1"/>
    <n v="13"/>
    <n v="955.97"/>
    <n v="0"/>
    <n v="12427.61"/>
    <s v="Cancelado"/>
  </r>
  <r>
    <s v="PED-0068"/>
    <x v="64"/>
    <x v="5"/>
    <x v="4"/>
    <s v="Monitor LG 24&quot;"/>
    <x v="1"/>
    <n v="8"/>
    <n v="886.67"/>
    <n v="5"/>
    <n v="6738.6919999999991"/>
    <s v="Cancelado"/>
  </r>
  <r>
    <s v="PED-0069"/>
    <x v="65"/>
    <x v="4"/>
    <x v="3"/>
    <s v="SSD 500GB"/>
    <x v="4"/>
    <n v="14"/>
    <n v="453.52"/>
    <n v="10"/>
    <n v="5714.3519999999999"/>
    <s v="Pendente"/>
  </r>
  <r>
    <s v="PED-0070"/>
    <x v="66"/>
    <x v="2"/>
    <x v="3"/>
    <s v="Webcam Logitech"/>
    <x v="0"/>
    <n v="5"/>
    <n v="369.9"/>
    <n v="20"/>
    <n v="1479.6000000000001"/>
    <s v="Concluído"/>
  </r>
  <r>
    <s v="PED-0071"/>
    <x v="67"/>
    <x v="0"/>
    <x v="4"/>
    <s v="Cadeira Gamer"/>
    <x v="2"/>
    <n v="8"/>
    <n v="1654.87"/>
    <n v="0"/>
    <n v="13238.96"/>
    <s v="Concluído"/>
  </r>
  <r>
    <s v="PED-0072"/>
    <x v="68"/>
    <x v="4"/>
    <x v="2"/>
    <s v="Monitor LG 24&quot;"/>
    <x v="1"/>
    <n v="3"/>
    <n v="890.82"/>
    <n v="5"/>
    <n v="2538.837"/>
    <s v="Concluído"/>
  </r>
  <r>
    <s v="PED-0073"/>
    <x v="69"/>
    <x v="1"/>
    <x v="3"/>
    <s v="Mesa Escritório L"/>
    <x v="2"/>
    <n v="9"/>
    <n v="1219.78"/>
    <n v="0"/>
    <n v="10978.02"/>
    <s v="Concluído"/>
  </r>
  <r>
    <s v="PED-0074"/>
    <x v="70"/>
    <x v="5"/>
    <x v="1"/>
    <s v="SSD 500GB"/>
    <x v="4"/>
    <n v="7"/>
    <n v="428.08"/>
    <n v="0"/>
    <n v="2996.56"/>
    <s v="Concluído"/>
  </r>
  <r>
    <s v="PED-0075"/>
    <x v="71"/>
    <x v="1"/>
    <x v="2"/>
    <s v="Cabo HDMI 2m"/>
    <x v="3"/>
    <n v="12"/>
    <n v="46.64"/>
    <n v="10"/>
    <n v="503.71200000000005"/>
    <s v="Concluído"/>
  </r>
  <r>
    <s v="PED-0076"/>
    <x v="27"/>
    <x v="4"/>
    <x v="3"/>
    <s v="Webcam Logitech"/>
    <x v="0"/>
    <n v="1"/>
    <n v="339.05"/>
    <n v="15"/>
    <n v="288.1925"/>
    <s v="Pendente"/>
  </r>
  <r>
    <s v="PED-0077"/>
    <x v="72"/>
    <x v="1"/>
    <x v="4"/>
    <s v="SSD 500GB"/>
    <x v="4"/>
    <n v="9"/>
    <n v="380.83"/>
    <n v="5"/>
    <n v="3256.0964999999997"/>
    <s v="Cancelado"/>
  </r>
  <r>
    <s v="PED-0078"/>
    <x v="73"/>
    <x v="0"/>
    <x v="3"/>
    <s v="Teclado Mecânico"/>
    <x v="0"/>
    <n v="14"/>
    <n v="385.86"/>
    <n v="0"/>
    <n v="5402.04"/>
    <s v="Concluído"/>
  </r>
  <r>
    <s v="PED-0079"/>
    <x v="74"/>
    <x v="2"/>
    <x v="3"/>
    <s v="Mesa Escritório L"/>
    <x v="2"/>
    <n v="6"/>
    <n v="1308.3699999999999"/>
    <n v="5"/>
    <n v="7457.7089999999989"/>
    <s v="Concluído"/>
  </r>
  <r>
    <s v="PED-0080"/>
    <x v="75"/>
    <x v="3"/>
    <x v="3"/>
    <s v="Notebook Dell Inspiron"/>
    <x v="1"/>
    <n v="12"/>
    <n v="3311.54"/>
    <n v="0"/>
    <n v="39738.479999999996"/>
    <s v="Concluído"/>
  </r>
  <r>
    <s v="PED-0081"/>
    <x v="76"/>
    <x v="0"/>
    <x v="1"/>
    <s v="Notebook Dell Inspiron"/>
    <x v="1"/>
    <n v="4"/>
    <n v="3039.49"/>
    <n v="0"/>
    <n v="12157.96"/>
    <s v="Cancelado"/>
  </r>
  <r>
    <s v="PED-0082"/>
    <x v="77"/>
    <x v="2"/>
    <x v="3"/>
    <s v="Impressora HP"/>
    <x v="1"/>
    <n v="2"/>
    <n v="811.97"/>
    <n v="0"/>
    <n v="1623.94"/>
    <s v="Pendente"/>
  </r>
  <r>
    <s v="PED-0083"/>
    <x v="16"/>
    <x v="4"/>
    <x v="4"/>
    <s v="SSD 500GB"/>
    <x v="4"/>
    <n v="10"/>
    <n v="479.19"/>
    <n v="15"/>
    <n v="4073.1149999999998"/>
    <s v="Concluído"/>
  </r>
  <r>
    <s v="PED-0084"/>
    <x v="78"/>
    <x v="3"/>
    <x v="2"/>
    <s v="Notebook Dell Inspiron"/>
    <x v="1"/>
    <n v="15"/>
    <n v="3129.57"/>
    <n v="15"/>
    <n v="39902.017500000002"/>
    <s v="Pendente"/>
  </r>
  <r>
    <s v="PED-0085"/>
    <x v="79"/>
    <x v="2"/>
    <x v="1"/>
    <s v="SSD 500GB"/>
    <x v="4"/>
    <n v="12"/>
    <n v="465.21"/>
    <n v="0"/>
    <n v="5582.5199999999995"/>
    <s v="Concluído"/>
  </r>
  <r>
    <s v="PED-0086"/>
    <x v="80"/>
    <x v="0"/>
    <x v="2"/>
    <s v="Monitor LG 24&quot;"/>
    <x v="1"/>
    <n v="13"/>
    <n v="1088.6600000000001"/>
    <n v="20"/>
    <n v="11322.064000000002"/>
    <s v="Concluído"/>
  </r>
  <r>
    <s v="PED-0087"/>
    <x v="81"/>
    <x v="1"/>
    <x v="0"/>
    <s v="Monitor LG 24&quot;"/>
    <x v="1"/>
    <n v="9"/>
    <n v="1008.79"/>
    <n v="0"/>
    <n v="9079.11"/>
    <s v="Pendente"/>
  </r>
  <r>
    <s v="PED-0088"/>
    <x v="82"/>
    <x v="1"/>
    <x v="0"/>
    <s v="Impressora HP"/>
    <x v="1"/>
    <n v="15"/>
    <n v="863.6"/>
    <n v="15"/>
    <n v="11010.9"/>
    <s v="Concluído"/>
  </r>
  <r>
    <s v="PED-0089"/>
    <x v="30"/>
    <x v="0"/>
    <x v="2"/>
    <s v="Impressora HP"/>
    <x v="1"/>
    <n v="5"/>
    <n v="822.1"/>
    <n v="10"/>
    <n v="3699.4500000000003"/>
    <s v="Pendente"/>
  </r>
  <r>
    <s v="PED-0090"/>
    <x v="83"/>
    <x v="0"/>
    <x v="2"/>
    <s v="Cadeira Gamer"/>
    <x v="2"/>
    <n v="6"/>
    <n v="2003.27"/>
    <n v="20"/>
    <n v="9615.6959999999999"/>
    <s v="Concluído"/>
  </r>
  <r>
    <s v="PED-0091"/>
    <x v="84"/>
    <x v="2"/>
    <x v="3"/>
    <s v="SSD 500GB"/>
    <x v="4"/>
    <n v="10"/>
    <n v="448.16"/>
    <n v="0"/>
    <n v="4481.6000000000004"/>
    <s v="Concluído"/>
  </r>
  <r>
    <s v="PED-0092"/>
    <x v="85"/>
    <x v="4"/>
    <x v="4"/>
    <s v="Webcam Logitech"/>
    <x v="0"/>
    <n v="4"/>
    <n v="336.16"/>
    <n v="0"/>
    <n v="1344.64"/>
    <s v="Concluído"/>
  </r>
  <r>
    <s v="PED-0093"/>
    <x v="86"/>
    <x v="0"/>
    <x v="0"/>
    <s v="HD Externo 1TB"/>
    <x v="4"/>
    <n v="1"/>
    <n v="319.04000000000002"/>
    <n v="0"/>
    <n v="319.04000000000002"/>
    <s v="Concluído"/>
  </r>
  <r>
    <s v="PED-0094"/>
    <x v="87"/>
    <x v="1"/>
    <x v="3"/>
    <s v="HD Externo 1TB"/>
    <x v="4"/>
    <n v="13"/>
    <n v="297.63"/>
    <n v="5"/>
    <n v="3675.7304999999997"/>
    <s v="Pendente"/>
  </r>
  <r>
    <s v="PED-0095"/>
    <x v="88"/>
    <x v="3"/>
    <x v="1"/>
    <s v="Cadeira Gamer"/>
    <x v="2"/>
    <n v="4"/>
    <n v="1801.98"/>
    <n v="0"/>
    <n v="7207.92"/>
    <s v="Concluído"/>
  </r>
  <r>
    <s v="PED-0096"/>
    <x v="89"/>
    <x v="5"/>
    <x v="2"/>
    <s v="Mesa Escritório L"/>
    <x v="2"/>
    <n v="7"/>
    <n v="1378.99"/>
    <n v="10"/>
    <n v="8687.6370000000006"/>
    <s v="Concluído"/>
  </r>
  <r>
    <s v="PED-0097"/>
    <x v="90"/>
    <x v="1"/>
    <x v="0"/>
    <s v="Cadeira Gamer"/>
    <x v="2"/>
    <n v="5"/>
    <n v="1723.74"/>
    <n v="15"/>
    <n v="7325.8950000000004"/>
    <s v="Concluído"/>
  </r>
  <r>
    <s v="PED-0098"/>
    <x v="91"/>
    <x v="0"/>
    <x v="2"/>
    <s v="Cabo HDMI 2m"/>
    <x v="3"/>
    <n v="3"/>
    <n v="42.65"/>
    <n v="15"/>
    <n v="108.75749999999999"/>
    <s v="Pendente"/>
  </r>
  <r>
    <s v="PED-0099"/>
    <x v="92"/>
    <x v="5"/>
    <x v="2"/>
    <s v="SSD 500GB"/>
    <x v="4"/>
    <n v="5"/>
    <n v="480.95"/>
    <n v="20"/>
    <n v="1923.8000000000002"/>
    <s v="Concluído"/>
  </r>
  <r>
    <s v="PED-0100"/>
    <x v="61"/>
    <x v="4"/>
    <x v="4"/>
    <s v="Cadeira Gamer"/>
    <x v="2"/>
    <n v="1"/>
    <n v="1938.61"/>
    <n v="0"/>
    <n v="1938.61"/>
    <s v="Concluído"/>
  </r>
  <r>
    <s v="PED-0101"/>
    <x v="93"/>
    <x v="5"/>
    <x v="0"/>
    <s v="Cabo HDMI 2m"/>
    <x v="3"/>
    <n v="3"/>
    <n v="47.68"/>
    <n v="20"/>
    <n v="114.432"/>
    <s v="Pendente"/>
  </r>
  <r>
    <s v="PED-0102"/>
    <x v="94"/>
    <x v="3"/>
    <x v="2"/>
    <s v="Cadeira Gamer"/>
    <x v="2"/>
    <n v="8"/>
    <n v="1835.42"/>
    <n v="0"/>
    <n v="14683.36"/>
    <s v="Concluído"/>
  </r>
  <r>
    <s v="PED-0103"/>
    <x v="95"/>
    <x v="1"/>
    <x v="1"/>
    <s v="Monitor LG 24&quot;"/>
    <x v="1"/>
    <n v="7"/>
    <n v="971.79"/>
    <n v="10"/>
    <n v="6122.277"/>
    <s v="Concluído"/>
  </r>
  <r>
    <s v="PED-0104"/>
    <x v="96"/>
    <x v="5"/>
    <x v="0"/>
    <s v="Monitor LG 24&quot;"/>
    <x v="1"/>
    <n v="4"/>
    <n v="883.13"/>
    <n v="20"/>
    <n v="2826.0160000000001"/>
    <s v="Pendente"/>
  </r>
  <r>
    <s v="PED-0105"/>
    <x v="97"/>
    <x v="5"/>
    <x v="3"/>
    <s v="Webcam Logitech"/>
    <x v="0"/>
    <n v="15"/>
    <n v="343.63"/>
    <n v="20"/>
    <n v="4123.5600000000004"/>
    <s v="Cancelado"/>
  </r>
  <r>
    <s v="PED-0106"/>
    <x v="98"/>
    <x v="5"/>
    <x v="2"/>
    <s v="Notebook Dell Inspiron"/>
    <x v="1"/>
    <n v="10"/>
    <n v="3648.09"/>
    <n v="0"/>
    <n v="36480.9"/>
    <s v="Concluído"/>
  </r>
  <r>
    <s v="PED-0107"/>
    <x v="99"/>
    <x v="0"/>
    <x v="1"/>
    <s v="Teclado Mecânico"/>
    <x v="0"/>
    <n v="4"/>
    <n v="358.51"/>
    <n v="0"/>
    <n v="1434.04"/>
    <s v="Concluído"/>
  </r>
  <r>
    <s v="PED-0108"/>
    <x v="100"/>
    <x v="1"/>
    <x v="2"/>
    <s v="Webcam Logitech"/>
    <x v="0"/>
    <n v="5"/>
    <n v="308.77"/>
    <n v="0"/>
    <n v="1543.85"/>
    <s v="Concluído"/>
  </r>
  <r>
    <s v="PED-0109"/>
    <x v="101"/>
    <x v="0"/>
    <x v="4"/>
    <s v="Cadeira Gamer"/>
    <x v="2"/>
    <n v="13"/>
    <n v="1976.06"/>
    <n v="10"/>
    <n v="23119.901999999998"/>
    <s v="Concluído"/>
  </r>
  <r>
    <s v="PED-0110"/>
    <x v="102"/>
    <x v="5"/>
    <x v="4"/>
    <s v="Impressora HP"/>
    <x v="1"/>
    <n v="3"/>
    <n v="879.14"/>
    <n v="20"/>
    <n v="2109.9360000000001"/>
    <s v="Concluído"/>
  </r>
  <r>
    <s v="PED-0111"/>
    <x v="103"/>
    <x v="2"/>
    <x v="0"/>
    <s v="SSD 500GB"/>
    <x v="4"/>
    <n v="12"/>
    <n v="464.55"/>
    <n v="0"/>
    <n v="5574.6"/>
    <s v="Pendente"/>
  </r>
  <r>
    <s v="PED-0112"/>
    <x v="104"/>
    <x v="0"/>
    <x v="0"/>
    <s v="Cabo HDMI 2m"/>
    <x v="3"/>
    <n v="7"/>
    <n v="51.11"/>
    <n v="10"/>
    <n v="321.99299999999999"/>
    <s v="Cancelado"/>
  </r>
  <r>
    <s v="PED-0113"/>
    <x v="105"/>
    <x v="3"/>
    <x v="2"/>
    <s v="Notebook Dell Inspiron"/>
    <x v="1"/>
    <n v="15"/>
    <n v="3225.62"/>
    <n v="0"/>
    <n v="48384.299999999996"/>
    <s v="Cancelado"/>
  </r>
  <r>
    <s v="PED-0114"/>
    <x v="106"/>
    <x v="3"/>
    <x v="4"/>
    <s v="Impressora HP"/>
    <x v="1"/>
    <n v="14"/>
    <n v="869.8"/>
    <n v="10"/>
    <n v="10959.48"/>
    <s v="Concluído"/>
  </r>
  <r>
    <s v="PED-0115"/>
    <x v="107"/>
    <x v="3"/>
    <x v="4"/>
    <s v="Webcam Logitech"/>
    <x v="0"/>
    <n v="9"/>
    <n v="361.38"/>
    <n v="0"/>
    <n v="3252.42"/>
    <s v="Concluído"/>
  </r>
  <r>
    <s v="PED-0116"/>
    <x v="108"/>
    <x v="1"/>
    <x v="1"/>
    <s v="Webcam Logitech"/>
    <x v="0"/>
    <n v="6"/>
    <n v="340.71"/>
    <n v="0"/>
    <n v="2044.2599999999998"/>
    <s v="Concluído"/>
  </r>
  <r>
    <s v="PED-0117"/>
    <x v="109"/>
    <x v="1"/>
    <x v="3"/>
    <s v="Cadeira Gamer"/>
    <x v="2"/>
    <n v="11"/>
    <n v="2045.34"/>
    <n v="20"/>
    <n v="17998.991999999998"/>
    <s v="Cancelado"/>
  </r>
  <r>
    <s v="PED-0118"/>
    <x v="110"/>
    <x v="3"/>
    <x v="0"/>
    <s v="Cadeira Gamer"/>
    <x v="2"/>
    <n v="6"/>
    <n v="1672.16"/>
    <n v="20"/>
    <n v="8026.3680000000013"/>
    <s v="Pendente"/>
  </r>
  <r>
    <s v="PED-0119"/>
    <x v="111"/>
    <x v="3"/>
    <x v="2"/>
    <s v="Webcam Logitech"/>
    <x v="0"/>
    <n v="7"/>
    <n v="310.61"/>
    <n v="10"/>
    <n v="1956.8430000000001"/>
    <s v="Concluído"/>
  </r>
  <r>
    <s v="PED-0120"/>
    <x v="112"/>
    <x v="1"/>
    <x v="1"/>
    <s v="Mouse Logitech MX"/>
    <x v="0"/>
    <n v="5"/>
    <n v="300.82"/>
    <n v="0"/>
    <n v="1504.1"/>
    <s v="Pendente"/>
  </r>
  <r>
    <s v="PED-0121"/>
    <x v="82"/>
    <x v="3"/>
    <x v="2"/>
    <s v="Mouse Logitech MX"/>
    <x v="0"/>
    <n v="12"/>
    <n v="272.48"/>
    <n v="10"/>
    <n v="2942.7840000000001"/>
    <s v="Concluído"/>
  </r>
  <r>
    <s v="PED-0122"/>
    <x v="113"/>
    <x v="3"/>
    <x v="4"/>
    <s v="Monitor LG 24&quot;"/>
    <x v="1"/>
    <n v="8"/>
    <n v="1079.93"/>
    <n v="15"/>
    <n v="7343.5240000000003"/>
    <s v="Concluído"/>
  </r>
  <r>
    <s v="PED-0123"/>
    <x v="114"/>
    <x v="4"/>
    <x v="2"/>
    <s v="Cabo HDMI 2m"/>
    <x v="3"/>
    <n v="5"/>
    <n v="45.17"/>
    <n v="5"/>
    <n v="214.5575"/>
    <s v="Pendente"/>
  </r>
  <r>
    <s v="PED-0124"/>
    <x v="115"/>
    <x v="5"/>
    <x v="4"/>
    <s v="Headset Sony"/>
    <x v="1"/>
    <n v="4"/>
    <n v="587.84"/>
    <n v="10"/>
    <n v="2116.2240000000002"/>
    <s v="Concluído"/>
  </r>
  <r>
    <s v="PED-0125"/>
    <x v="116"/>
    <x v="1"/>
    <x v="0"/>
    <s v="HD Externo 1TB"/>
    <x v="4"/>
    <n v="5"/>
    <n v="342.59"/>
    <n v="0"/>
    <n v="1712.9499999999998"/>
    <s v="Concluído"/>
  </r>
  <r>
    <s v="PED-0126"/>
    <x v="85"/>
    <x v="2"/>
    <x v="3"/>
    <s v="HD Externo 1TB"/>
    <x v="4"/>
    <n v="8"/>
    <n v="305.75"/>
    <n v="10"/>
    <n v="2201.4"/>
    <s v="Cancelado"/>
  </r>
  <r>
    <s v="PED-0127"/>
    <x v="117"/>
    <x v="4"/>
    <x v="4"/>
    <s v="Cabo HDMI 2m"/>
    <x v="3"/>
    <n v="4"/>
    <n v="46.93"/>
    <n v="0"/>
    <n v="187.72"/>
    <s v="Pendente"/>
  </r>
  <r>
    <s v="PED-0128"/>
    <x v="118"/>
    <x v="0"/>
    <x v="3"/>
    <s v="Cabo HDMI 2m"/>
    <x v="3"/>
    <n v="15"/>
    <n v="49.63"/>
    <n v="5"/>
    <n v="707.22749999999996"/>
    <s v="Concluído"/>
  </r>
  <r>
    <s v="PED-0129"/>
    <x v="119"/>
    <x v="2"/>
    <x v="2"/>
    <s v="SSD 500GB"/>
    <x v="4"/>
    <n v="6"/>
    <n v="469.32"/>
    <n v="20"/>
    <n v="2252.7360000000003"/>
    <s v="Pendente"/>
  </r>
  <r>
    <s v="PED-0130"/>
    <x v="120"/>
    <x v="1"/>
    <x v="1"/>
    <s v="Cabo HDMI 2m"/>
    <x v="3"/>
    <n v="3"/>
    <n v="45.11"/>
    <n v="15"/>
    <n v="115.03049999999999"/>
    <s v="Concluído"/>
  </r>
  <r>
    <s v="PED-0131"/>
    <x v="121"/>
    <x v="4"/>
    <x v="0"/>
    <s v="SSD 500GB"/>
    <x v="4"/>
    <n v="12"/>
    <n v="419.74"/>
    <n v="0"/>
    <n v="5036.88"/>
    <s v="Concluído"/>
  </r>
  <r>
    <s v="PED-0132"/>
    <x v="122"/>
    <x v="4"/>
    <x v="3"/>
    <s v="HD Externo 1TB"/>
    <x v="4"/>
    <n v="1"/>
    <n v="326.85000000000002"/>
    <n v="0"/>
    <n v="326.85000000000002"/>
    <s v="Concluído"/>
  </r>
  <r>
    <s v="PED-0133"/>
    <x v="87"/>
    <x v="3"/>
    <x v="3"/>
    <s v="Monitor LG 24&quot;"/>
    <x v="1"/>
    <n v="13"/>
    <n v="1005.52"/>
    <n v="20"/>
    <n v="10457.408000000001"/>
    <s v="Concluído"/>
  </r>
  <r>
    <s v="PED-0134"/>
    <x v="123"/>
    <x v="0"/>
    <x v="0"/>
    <s v="Notebook Dell Inspiron"/>
    <x v="1"/>
    <n v="1"/>
    <n v="3139.5"/>
    <n v="0"/>
    <n v="3139.5"/>
    <s v="Concluído"/>
  </r>
  <r>
    <s v="PED-0135"/>
    <x v="8"/>
    <x v="1"/>
    <x v="4"/>
    <s v="Mouse Logitech MX"/>
    <x v="0"/>
    <n v="9"/>
    <n v="290.87"/>
    <n v="15"/>
    <n v="2225.1554999999998"/>
    <s v="Concluído"/>
  </r>
  <r>
    <s v="PED-0136"/>
    <x v="124"/>
    <x v="3"/>
    <x v="2"/>
    <s v="Headset Sony"/>
    <x v="1"/>
    <n v="10"/>
    <n v="556.80999999999995"/>
    <n v="5"/>
    <n v="5289.6949999999988"/>
    <s v="Cancelado"/>
  </r>
  <r>
    <s v="PED-0137"/>
    <x v="77"/>
    <x v="1"/>
    <x v="0"/>
    <s v="Webcam Logitech"/>
    <x v="0"/>
    <n v="5"/>
    <n v="362.68"/>
    <n v="20"/>
    <n v="1450.7200000000003"/>
    <s v="Pendente"/>
  </r>
  <r>
    <s v="PED-0138"/>
    <x v="125"/>
    <x v="5"/>
    <x v="4"/>
    <s v="Monitor LG 24&quot;"/>
    <x v="1"/>
    <n v="8"/>
    <n v="1079.49"/>
    <n v="10"/>
    <n v="7772.3280000000004"/>
    <s v="Concluído"/>
  </r>
  <r>
    <s v="PED-0139"/>
    <x v="126"/>
    <x v="4"/>
    <x v="3"/>
    <s v="Cadeira Gamer"/>
    <x v="2"/>
    <n v="4"/>
    <n v="2069.7199999999998"/>
    <n v="20"/>
    <n v="6623.1039999999994"/>
    <s v="Pendente"/>
  </r>
  <r>
    <s v="PED-0140"/>
    <x v="127"/>
    <x v="1"/>
    <x v="2"/>
    <s v="Mesa Escritório L"/>
    <x v="2"/>
    <n v="10"/>
    <n v="1168.76"/>
    <n v="15"/>
    <n v="9934.4600000000009"/>
    <s v="Concluído"/>
  </r>
  <r>
    <s v="PED-0141"/>
    <x v="128"/>
    <x v="0"/>
    <x v="3"/>
    <s v="Cadeira Gamer"/>
    <x v="2"/>
    <n v="1"/>
    <n v="1874.67"/>
    <n v="15"/>
    <n v="1593.4694999999999"/>
    <s v="Concluído"/>
  </r>
  <r>
    <s v="PED-0142"/>
    <x v="129"/>
    <x v="4"/>
    <x v="4"/>
    <s v="SSD 500GB"/>
    <x v="4"/>
    <n v="13"/>
    <n v="414.99"/>
    <n v="15"/>
    <n v="4585.6395000000002"/>
    <s v="Concluído"/>
  </r>
  <r>
    <s v="PED-0143"/>
    <x v="130"/>
    <x v="0"/>
    <x v="4"/>
    <s v="Impressora HP"/>
    <x v="1"/>
    <n v="2"/>
    <n v="878.16"/>
    <n v="15"/>
    <n v="1492.8719999999998"/>
    <s v="Concluído"/>
  </r>
  <r>
    <s v="PED-0144"/>
    <x v="131"/>
    <x v="1"/>
    <x v="1"/>
    <s v="SSD 500GB"/>
    <x v="4"/>
    <n v="6"/>
    <n v="454.9"/>
    <n v="0"/>
    <n v="2729.3999999999996"/>
    <s v="Concluído"/>
  </r>
  <r>
    <s v="PED-0145"/>
    <x v="132"/>
    <x v="1"/>
    <x v="4"/>
    <s v="Mouse Logitech MX"/>
    <x v="0"/>
    <n v="3"/>
    <n v="318.02"/>
    <n v="0"/>
    <n v="954.06"/>
    <s v="Cancelado"/>
  </r>
  <r>
    <s v="PED-0146"/>
    <x v="133"/>
    <x v="2"/>
    <x v="0"/>
    <s v="Webcam Logitech"/>
    <x v="0"/>
    <n v="13"/>
    <n v="331.09"/>
    <n v="20"/>
    <n v="3443.3360000000002"/>
    <s v="Concluído"/>
  </r>
  <r>
    <s v="PED-0147"/>
    <x v="104"/>
    <x v="3"/>
    <x v="4"/>
    <s v="Mouse Logitech MX"/>
    <x v="0"/>
    <n v="14"/>
    <n v="310.02999999999997"/>
    <n v="15"/>
    <n v="3689.357"/>
    <s v="Pendente"/>
  </r>
  <r>
    <s v="PED-0148"/>
    <x v="134"/>
    <x v="3"/>
    <x v="3"/>
    <s v="Notebook Dell Inspiron"/>
    <x v="1"/>
    <n v="5"/>
    <n v="3309.26"/>
    <n v="5"/>
    <n v="15718.985000000002"/>
    <s v="Concluído"/>
  </r>
  <r>
    <s v="PED-0149"/>
    <x v="107"/>
    <x v="1"/>
    <x v="0"/>
    <s v="Monitor LG 24&quot;"/>
    <x v="1"/>
    <n v="11"/>
    <n v="910.53"/>
    <n v="0"/>
    <n v="10015.83"/>
    <s v="Cancelado"/>
  </r>
  <r>
    <s v="PED-0150"/>
    <x v="135"/>
    <x v="5"/>
    <x v="4"/>
    <s v="Impressora HP"/>
    <x v="1"/>
    <n v="2"/>
    <n v="825.9"/>
    <n v="5"/>
    <n v="1569.2099999999998"/>
    <s v="Concluído"/>
  </r>
  <r>
    <s v="PED-0151"/>
    <x v="102"/>
    <x v="2"/>
    <x v="1"/>
    <s v="Notebook Dell Inspiron"/>
    <x v="1"/>
    <n v="5"/>
    <n v="3676.74"/>
    <n v="0"/>
    <n v="18383.699999999997"/>
    <s v="Concluído"/>
  </r>
  <r>
    <s v="PED-0152"/>
    <x v="136"/>
    <x v="2"/>
    <x v="3"/>
    <s v="Webcam Logitech"/>
    <x v="0"/>
    <n v="6"/>
    <n v="362.99"/>
    <n v="15"/>
    <n v="1851.249"/>
    <s v="Cancelado"/>
  </r>
  <r>
    <s v="PED-0153"/>
    <x v="13"/>
    <x v="0"/>
    <x v="4"/>
    <s v="Headset Sony"/>
    <x v="1"/>
    <n v="11"/>
    <n v="480.87"/>
    <n v="5"/>
    <n v="5025.0914999999995"/>
    <s v="Cancelado"/>
  </r>
  <r>
    <s v="PED-0154"/>
    <x v="75"/>
    <x v="3"/>
    <x v="0"/>
    <s v="Mouse Logitech MX"/>
    <x v="0"/>
    <n v="8"/>
    <n v="293.24"/>
    <n v="0"/>
    <n v="2345.92"/>
    <s v="Concluído"/>
  </r>
  <r>
    <s v="PED-0155"/>
    <x v="137"/>
    <x v="4"/>
    <x v="2"/>
    <s v="Impressora HP"/>
    <x v="1"/>
    <n v="6"/>
    <n v="713.81"/>
    <n v="0"/>
    <n v="4282.8599999999997"/>
    <s v="Concluído"/>
  </r>
  <r>
    <s v="PED-0156"/>
    <x v="94"/>
    <x v="1"/>
    <x v="1"/>
    <s v="Impressora HP"/>
    <x v="1"/>
    <n v="4"/>
    <n v="827.13"/>
    <n v="10"/>
    <n v="2977.6680000000001"/>
    <s v="Concluído"/>
  </r>
  <r>
    <s v="PED-0157"/>
    <x v="138"/>
    <x v="4"/>
    <x v="4"/>
    <s v="Teclado Mecânico"/>
    <x v="0"/>
    <n v="13"/>
    <n v="395.63"/>
    <n v="0"/>
    <n v="5143.1899999999996"/>
    <s v="Cancelado"/>
  </r>
  <r>
    <s v="PED-0158"/>
    <x v="139"/>
    <x v="2"/>
    <x v="4"/>
    <s v="Mesa Escritório L"/>
    <x v="2"/>
    <n v="13"/>
    <n v="1124.27"/>
    <n v="10"/>
    <n v="13153.959000000001"/>
    <s v="Concluído"/>
  </r>
  <r>
    <s v="PED-0159"/>
    <x v="140"/>
    <x v="2"/>
    <x v="4"/>
    <s v="HD Externo 1TB"/>
    <x v="4"/>
    <n v="5"/>
    <n v="340.88"/>
    <n v="0"/>
    <n v="1704.4"/>
    <s v="Concluído"/>
  </r>
  <r>
    <s v="PED-0160"/>
    <x v="141"/>
    <x v="4"/>
    <x v="4"/>
    <s v="SSD 500GB"/>
    <x v="4"/>
    <n v="6"/>
    <n v="379.66"/>
    <n v="0"/>
    <n v="2277.96"/>
    <s v="Concluído"/>
  </r>
  <r>
    <s v="PED-0161"/>
    <x v="142"/>
    <x v="1"/>
    <x v="2"/>
    <s v="Monitor LG 24&quot;"/>
    <x v="1"/>
    <n v="12"/>
    <n v="870.1"/>
    <n v="5"/>
    <n v="9919.14"/>
    <s v="Concluído"/>
  </r>
  <r>
    <s v="PED-0162"/>
    <x v="143"/>
    <x v="3"/>
    <x v="3"/>
    <s v="HD Externo 1TB"/>
    <x v="4"/>
    <n v="4"/>
    <n v="352.27"/>
    <n v="0"/>
    <n v="1409.08"/>
    <s v="Cancelado"/>
  </r>
  <r>
    <s v="PED-0163"/>
    <x v="144"/>
    <x v="0"/>
    <x v="1"/>
    <s v="Notebook Dell Inspiron"/>
    <x v="1"/>
    <n v="8"/>
    <n v="3557.84"/>
    <n v="5"/>
    <n v="27039.583999999999"/>
    <s v="Concluído"/>
  </r>
  <r>
    <s v="PED-0164"/>
    <x v="114"/>
    <x v="1"/>
    <x v="1"/>
    <s v="Monitor LG 24&quot;"/>
    <x v="1"/>
    <n v="6"/>
    <n v="999.47"/>
    <n v="0"/>
    <n v="5996.82"/>
    <s v="Concluído"/>
  </r>
  <r>
    <s v="PED-0165"/>
    <x v="86"/>
    <x v="0"/>
    <x v="2"/>
    <s v="HD Externo 1TB"/>
    <x v="4"/>
    <n v="12"/>
    <n v="304.2"/>
    <n v="10"/>
    <n v="3285.3599999999997"/>
    <s v="Cancelado"/>
  </r>
  <r>
    <s v="PED-0166"/>
    <x v="144"/>
    <x v="5"/>
    <x v="2"/>
    <s v="Headset Sony"/>
    <x v="1"/>
    <n v="2"/>
    <n v="571.1"/>
    <n v="0"/>
    <n v="1142.2"/>
    <s v="Cancelado"/>
  </r>
  <r>
    <s v="PED-0167"/>
    <x v="58"/>
    <x v="1"/>
    <x v="4"/>
    <s v="Headset Sony"/>
    <x v="1"/>
    <n v="6"/>
    <n v="575.55999999999995"/>
    <n v="5"/>
    <n v="3280.6919999999996"/>
    <s v="Pendente"/>
  </r>
  <r>
    <s v="PED-0168"/>
    <x v="145"/>
    <x v="1"/>
    <x v="0"/>
    <s v="Impressora HP"/>
    <x v="1"/>
    <n v="5"/>
    <n v="774.99"/>
    <n v="0"/>
    <n v="3874.95"/>
    <s v="Pendente"/>
  </r>
  <r>
    <s v="PED-0169"/>
    <x v="146"/>
    <x v="3"/>
    <x v="1"/>
    <s v="Headset Sony"/>
    <x v="1"/>
    <n v="2"/>
    <n v="564.79999999999995"/>
    <n v="0"/>
    <n v="1129.5999999999999"/>
    <s v="Concluído"/>
  </r>
  <r>
    <s v="PED-0170"/>
    <x v="147"/>
    <x v="5"/>
    <x v="2"/>
    <s v="HD Externo 1TB"/>
    <x v="4"/>
    <n v="6"/>
    <n v="330.93"/>
    <n v="5"/>
    <n v="1886.3009999999999"/>
    <s v="Concluído"/>
  </r>
  <r>
    <s v="PED-0171"/>
    <x v="148"/>
    <x v="0"/>
    <x v="1"/>
    <s v="Cadeira Gamer"/>
    <x v="2"/>
    <n v="10"/>
    <n v="1760.6"/>
    <n v="0"/>
    <n v="17606"/>
    <s v="Cancelado"/>
  </r>
  <r>
    <s v="PED-0172"/>
    <x v="149"/>
    <x v="2"/>
    <x v="3"/>
    <s v="Mouse Logitech MX"/>
    <x v="0"/>
    <n v="14"/>
    <n v="268.85000000000002"/>
    <n v="20"/>
    <n v="3011.1200000000008"/>
    <s v="Cancelado"/>
  </r>
  <r>
    <s v="PED-0173"/>
    <x v="150"/>
    <x v="4"/>
    <x v="2"/>
    <s v="Mouse Logitech MX"/>
    <x v="0"/>
    <n v="13"/>
    <n v="292.11"/>
    <n v="10"/>
    <n v="3417.6870000000004"/>
    <s v="Cancelado"/>
  </r>
  <r>
    <s v="PED-0174"/>
    <x v="151"/>
    <x v="5"/>
    <x v="0"/>
    <s v="Notebook Dell Inspiron"/>
    <x v="1"/>
    <n v="3"/>
    <n v="3098.62"/>
    <n v="20"/>
    <n v="7436.688000000001"/>
    <s v="Concluído"/>
  </r>
  <r>
    <s v="PED-0175"/>
    <x v="152"/>
    <x v="3"/>
    <x v="4"/>
    <s v="Teclado Mecânico"/>
    <x v="0"/>
    <n v="10"/>
    <n v="404.45"/>
    <n v="0"/>
    <n v="4044.5"/>
    <s v="Concluído"/>
  </r>
  <r>
    <s v="PED-0176"/>
    <x v="73"/>
    <x v="0"/>
    <x v="2"/>
    <s v="Mouse Logitech MX"/>
    <x v="0"/>
    <n v="7"/>
    <n v="291.44"/>
    <n v="0"/>
    <n v="2040.08"/>
    <s v="Concluído"/>
  </r>
  <r>
    <s v="PED-0177"/>
    <x v="153"/>
    <x v="0"/>
    <x v="0"/>
    <s v="SSD 500GB"/>
    <x v="4"/>
    <n v="10"/>
    <n v="386.92"/>
    <n v="0"/>
    <n v="3869.2000000000003"/>
    <s v="Concluído"/>
  </r>
  <r>
    <s v="PED-0178"/>
    <x v="154"/>
    <x v="5"/>
    <x v="1"/>
    <s v="Impressora HP"/>
    <x v="1"/>
    <n v="2"/>
    <n v="755.06"/>
    <n v="15"/>
    <n v="1283.6019999999999"/>
    <s v="Pendente"/>
  </r>
  <r>
    <s v="PED-0179"/>
    <x v="155"/>
    <x v="1"/>
    <x v="3"/>
    <s v="Cadeira Gamer"/>
    <x v="2"/>
    <n v="4"/>
    <n v="1959.72"/>
    <n v="0"/>
    <n v="7838.88"/>
    <s v="Concluído"/>
  </r>
  <r>
    <s v="PED-0180"/>
    <x v="102"/>
    <x v="4"/>
    <x v="2"/>
    <s v="Webcam Logitech"/>
    <x v="0"/>
    <n v="9"/>
    <n v="362.71"/>
    <n v="0"/>
    <n v="3264.39"/>
    <s v="Concluído"/>
  </r>
  <r>
    <s v="PED-0181"/>
    <x v="156"/>
    <x v="3"/>
    <x v="1"/>
    <s v="Mouse Logitech MX"/>
    <x v="0"/>
    <n v="5"/>
    <n v="329.54"/>
    <n v="20"/>
    <n v="1318.16"/>
    <s v="Concluído"/>
  </r>
  <r>
    <s v="PED-0182"/>
    <x v="157"/>
    <x v="4"/>
    <x v="1"/>
    <s v="Notebook Dell Inspiron"/>
    <x v="1"/>
    <n v="8"/>
    <n v="3477.61"/>
    <n v="0"/>
    <n v="27820.880000000001"/>
    <s v="Concluído"/>
  </r>
  <r>
    <s v="PED-0183"/>
    <x v="158"/>
    <x v="0"/>
    <x v="4"/>
    <s v="HD Externo 1TB"/>
    <x v="4"/>
    <n v="9"/>
    <n v="343.58"/>
    <n v="20"/>
    <n v="2473.7759999999998"/>
    <s v="Concluído"/>
  </r>
  <r>
    <s v="PED-0184"/>
    <x v="159"/>
    <x v="0"/>
    <x v="1"/>
    <s v="Headset Sony"/>
    <x v="1"/>
    <n v="1"/>
    <n v="527.77"/>
    <n v="0"/>
    <n v="527.77"/>
    <s v="Concluído"/>
  </r>
  <r>
    <s v="PED-0185"/>
    <x v="13"/>
    <x v="1"/>
    <x v="3"/>
    <s v="Cadeira Gamer"/>
    <x v="2"/>
    <n v="2"/>
    <n v="1802.26"/>
    <n v="0"/>
    <n v="3604.52"/>
    <s v="Concluído"/>
  </r>
  <r>
    <s v="PED-0186"/>
    <x v="160"/>
    <x v="0"/>
    <x v="0"/>
    <s v="Monitor LG 24&quot;"/>
    <x v="1"/>
    <n v="7"/>
    <n v="1055.57"/>
    <n v="0"/>
    <n v="7388.99"/>
    <s v="Pendente"/>
  </r>
  <r>
    <s v="PED-0187"/>
    <x v="161"/>
    <x v="3"/>
    <x v="3"/>
    <s v="Cadeira Gamer"/>
    <x v="2"/>
    <n v="12"/>
    <n v="1772.78"/>
    <n v="0"/>
    <n v="21273.360000000001"/>
    <s v="Concluído"/>
  </r>
  <r>
    <s v="PED-0188"/>
    <x v="26"/>
    <x v="0"/>
    <x v="1"/>
    <s v="HD Externo 1TB"/>
    <x v="4"/>
    <n v="9"/>
    <n v="294.02999999999997"/>
    <n v="20"/>
    <n v="2117.0159999999996"/>
    <s v="Concluído"/>
  </r>
  <r>
    <s v="PED-0189"/>
    <x v="162"/>
    <x v="0"/>
    <x v="4"/>
    <s v="Mouse Logitech MX"/>
    <x v="0"/>
    <n v="2"/>
    <n v="271.62"/>
    <n v="0"/>
    <n v="543.24"/>
    <s v="Concluído"/>
  </r>
  <r>
    <s v="PED-0190"/>
    <x v="163"/>
    <x v="0"/>
    <x v="1"/>
    <s v="Teclado Mecânico"/>
    <x v="0"/>
    <n v="13"/>
    <n v="401.66"/>
    <n v="5"/>
    <n v="4960.5009999999993"/>
    <s v="Cancelado"/>
  </r>
  <r>
    <s v="PED-0191"/>
    <x v="164"/>
    <x v="5"/>
    <x v="2"/>
    <s v="Mesa Escritório L"/>
    <x v="2"/>
    <n v="14"/>
    <n v="1371.29"/>
    <n v="0"/>
    <n v="19198.059999999998"/>
    <s v="Concluído"/>
  </r>
  <r>
    <s v="PED-0192"/>
    <x v="101"/>
    <x v="1"/>
    <x v="3"/>
    <s v="Impressora HP"/>
    <x v="1"/>
    <n v="5"/>
    <n v="857.28"/>
    <n v="10"/>
    <n v="3857.7599999999998"/>
    <s v="Concluído"/>
  </r>
  <r>
    <s v="PED-0193"/>
    <x v="165"/>
    <x v="3"/>
    <x v="0"/>
    <s v="Webcam Logitech"/>
    <x v="0"/>
    <n v="8"/>
    <n v="309.2"/>
    <n v="0"/>
    <n v="2473.6"/>
    <s v="Concluído"/>
  </r>
  <r>
    <s v="PED-0194"/>
    <x v="45"/>
    <x v="3"/>
    <x v="2"/>
    <s v="SSD 500GB"/>
    <x v="4"/>
    <n v="9"/>
    <n v="418.37"/>
    <n v="10"/>
    <n v="3388.797"/>
    <s v="Cancelado"/>
  </r>
  <r>
    <s v="PED-0195"/>
    <x v="110"/>
    <x v="5"/>
    <x v="4"/>
    <s v="Mesa Escritório L"/>
    <x v="2"/>
    <n v="10"/>
    <n v="1222.69"/>
    <n v="0"/>
    <n v="12226.900000000001"/>
    <s v="Concluído"/>
  </r>
  <r>
    <s v="PED-0196"/>
    <x v="166"/>
    <x v="4"/>
    <x v="1"/>
    <s v="HD Externo 1TB"/>
    <x v="4"/>
    <n v="11"/>
    <n v="292.37"/>
    <n v="0"/>
    <n v="3216.07"/>
    <s v="Pendente"/>
  </r>
  <r>
    <s v="PED-0197"/>
    <x v="15"/>
    <x v="5"/>
    <x v="2"/>
    <s v="Teclado Mecânico"/>
    <x v="0"/>
    <n v="6"/>
    <n v="377.42"/>
    <n v="0"/>
    <n v="2264.52"/>
    <s v="Pendente"/>
  </r>
  <r>
    <s v="PED-0198"/>
    <x v="167"/>
    <x v="4"/>
    <x v="2"/>
    <s v="Notebook Dell Inspiron"/>
    <x v="1"/>
    <n v="13"/>
    <n v="3384.71"/>
    <n v="0"/>
    <n v="44001.23"/>
    <s v="Concluído"/>
  </r>
  <r>
    <s v="PED-0199"/>
    <x v="91"/>
    <x v="5"/>
    <x v="3"/>
    <s v="Cadeira Gamer"/>
    <x v="2"/>
    <n v="5"/>
    <n v="1945.68"/>
    <n v="15"/>
    <n v="8269.14"/>
    <s v="Cancelado"/>
  </r>
  <r>
    <s v="PED-0200"/>
    <x v="168"/>
    <x v="3"/>
    <x v="2"/>
    <s v="Impressora HP"/>
    <x v="1"/>
    <n v="3"/>
    <n v="880.77"/>
    <n v="0"/>
    <n v="2642.31"/>
    <s v="Pendent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B6F4E6-A0D3-4170-A9B4-98538875090F}" name="Tabela dinâmica2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A13:C19" firstHeaderRow="0" firstDataRow="1" firstDataCol="1"/>
  <pivotFields count="14">
    <pivotField showAll="0"/>
    <pivotField numFmtId="14" showAll="0">
      <items count="170">
        <item x="73"/>
        <item x="100"/>
        <item x="2"/>
        <item x="52"/>
        <item x="128"/>
        <item x="93"/>
        <item x="95"/>
        <item x="118"/>
        <item x="110"/>
        <item x="36"/>
        <item x="138"/>
        <item x="103"/>
        <item x="146"/>
        <item x="116"/>
        <item x="60"/>
        <item x="159"/>
        <item x="62"/>
        <item x="121"/>
        <item x="26"/>
        <item x="1"/>
        <item x="45"/>
        <item x="25"/>
        <item x="76"/>
        <item x="0"/>
        <item x="31"/>
        <item x="4"/>
        <item x="43"/>
        <item x="14"/>
        <item x="127"/>
        <item x="145"/>
        <item x="104"/>
        <item x="120"/>
        <item x="137"/>
        <item x="94"/>
        <item x="141"/>
        <item x="96"/>
        <item x="77"/>
        <item x="168"/>
        <item x="47"/>
        <item x="39"/>
        <item x="142"/>
        <item x="163"/>
        <item x="124"/>
        <item x="78"/>
        <item x="109"/>
        <item x="32"/>
        <item x="9"/>
        <item x="3"/>
        <item x="46"/>
        <item x="154"/>
        <item x="72"/>
        <item x="69"/>
        <item x="18"/>
        <item x="99"/>
        <item x="58"/>
        <item x="139"/>
        <item x="44"/>
        <item x="51"/>
        <item x="20"/>
        <item x="24"/>
        <item x="63"/>
        <item x="115"/>
        <item x="136"/>
        <item x="10"/>
        <item x="87"/>
        <item x="97"/>
        <item x="7"/>
        <item x="106"/>
        <item x="11"/>
        <item x="50"/>
        <item x="157"/>
        <item x="68"/>
        <item x="84"/>
        <item x="17"/>
        <item x="107"/>
        <item x="86"/>
        <item x="130"/>
        <item x="92"/>
        <item x="16"/>
        <item x="140"/>
        <item x="61"/>
        <item x="48"/>
        <item x="23"/>
        <item x="144"/>
        <item x="125"/>
        <item x="131"/>
        <item x="80"/>
        <item x="35"/>
        <item x="91"/>
        <item x="152"/>
        <item x="59"/>
        <item x="19"/>
        <item x="132"/>
        <item x="41"/>
        <item x="150"/>
        <item x="153"/>
        <item x="8"/>
        <item x="56"/>
        <item x="89"/>
        <item x="165"/>
        <item x="81"/>
        <item x="6"/>
        <item x="53"/>
        <item x="90"/>
        <item x="162"/>
        <item x="33"/>
        <item x="37"/>
        <item x="74"/>
        <item x="117"/>
        <item x="161"/>
        <item x="158"/>
        <item x="156"/>
        <item x="79"/>
        <item x="29"/>
        <item x="71"/>
        <item x="55"/>
        <item x="102"/>
        <item x="30"/>
        <item x="75"/>
        <item x="98"/>
        <item x="70"/>
        <item x="28"/>
        <item x="13"/>
        <item x="54"/>
        <item x="108"/>
        <item x="126"/>
        <item x="167"/>
        <item x="148"/>
        <item x="64"/>
        <item x="101"/>
        <item x="166"/>
        <item x="12"/>
        <item x="123"/>
        <item x="83"/>
        <item x="15"/>
        <item x="5"/>
        <item x="40"/>
        <item x="164"/>
        <item x="88"/>
        <item x="160"/>
        <item x="119"/>
        <item x="82"/>
        <item x="34"/>
        <item x="27"/>
        <item x="105"/>
        <item x="155"/>
        <item x="112"/>
        <item x="114"/>
        <item x="129"/>
        <item x="85"/>
        <item x="42"/>
        <item x="149"/>
        <item x="133"/>
        <item x="57"/>
        <item x="38"/>
        <item x="67"/>
        <item x="143"/>
        <item x="111"/>
        <item x="22"/>
        <item x="151"/>
        <item x="147"/>
        <item x="135"/>
        <item x="134"/>
        <item x="122"/>
        <item x="113"/>
        <item x="66"/>
        <item x="65"/>
        <item x="21"/>
        <item x="49"/>
        <item t="default"/>
      </items>
    </pivotField>
    <pivotField axis="axisRow" showAll="0" sortType="descending">
      <items count="7">
        <item x="3"/>
        <item x="2"/>
        <item x="4"/>
        <item x="1"/>
        <item x="5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dataField="1" showAll="0"/>
    <pivotField numFmtId="164" showAll="0"/>
    <pivotField numFmtId="165" showAll="0"/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2"/>
  </rowFields>
  <rowItems count="6">
    <i>
      <x/>
    </i>
    <i>
      <x v="5"/>
    </i>
    <i>
      <x v="3"/>
    </i>
    <i>
      <x v="4"/>
    </i>
    <i>
      <x v="2"/>
    </i>
    <i>
      <x v="1"/>
    </i>
  </rowItems>
  <colFields count="1">
    <field x="-2"/>
  </colFields>
  <colItems count="2">
    <i>
      <x/>
    </i>
    <i i="1">
      <x v="1"/>
    </i>
  </colItems>
  <dataFields count="2">
    <dataField name=" Total (R$)" fld="9" baseField="2" baseItem="0" numFmtId="164"/>
    <dataField name="Quantidade total" fld="6" baseField="2" baseItem="0"/>
  </dataFields>
  <formats count="11"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2" type="button" dataOnly="0" labelOnly="1" outline="0" axis="axisRow" fieldPosition="0"/>
    </format>
    <format dxfId="21">
      <pivotArea dataOnly="0" labelOnly="1" fieldPosition="0">
        <references count="1">
          <reference field="2" count="0"/>
        </references>
      </pivotArea>
    </format>
    <format dxfId="2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">
      <pivotArea field="2" type="button" dataOnly="0" labelOnly="1" outline="0" axis="axisRow" fieldPosition="0"/>
    </format>
    <format dxfId="1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">
      <pivotArea field="2" type="button" dataOnly="0" labelOnly="1" outline="0" axis="axisRow" fieldPosition="0"/>
    </format>
    <format dxfId="1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">
      <pivotArea field="2" type="button" dataOnly="0" labelOnly="1" outline="0" axis="axisRow" fieldPosition="0"/>
    </format>
    <format dxfId="1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A3E03B-C8EA-4BCA-9683-75D0A2E0D1B3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2:M10" firstHeaderRow="1" firstDataRow="3" firstDataCol="1"/>
  <pivotFields count="14">
    <pivotField showAll="0"/>
    <pivotField numFmtId="14" showAll="0">
      <items count="170">
        <item x="73"/>
        <item x="100"/>
        <item x="2"/>
        <item x="52"/>
        <item x="128"/>
        <item x="93"/>
        <item x="95"/>
        <item x="118"/>
        <item x="110"/>
        <item x="36"/>
        <item x="138"/>
        <item x="103"/>
        <item x="146"/>
        <item x="116"/>
        <item x="60"/>
        <item x="159"/>
        <item x="62"/>
        <item x="121"/>
        <item x="26"/>
        <item x="1"/>
        <item x="45"/>
        <item x="25"/>
        <item x="76"/>
        <item x="0"/>
        <item x="31"/>
        <item x="4"/>
        <item x="43"/>
        <item x="14"/>
        <item x="127"/>
        <item x="145"/>
        <item x="104"/>
        <item x="120"/>
        <item x="137"/>
        <item x="94"/>
        <item x="141"/>
        <item x="96"/>
        <item x="77"/>
        <item x="168"/>
        <item x="47"/>
        <item x="39"/>
        <item x="142"/>
        <item x="163"/>
        <item x="124"/>
        <item x="78"/>
        <item x="109"/>
        <item x="32"/>
        <item x="9"/>
        <item x="3"/>
        <item x="46"/>
        <item x="154"/>
        <item x="72"/>
        <item x="69"/>
        <item x="18"/>
        <item x="99"/>
        <item x="58"/>
        <item x="139"/>
        <item x="44"/>
        <item x="51"/>
        <item x="20"/>
        <item x="24"/>
        <item x="63"/>
        <item x="115"/>
        <item x="136"/>
        <item x="10"/>
        <item x="87"/>
        <item x="97"/>
        <item x="7"/>
        <item x="106"/>
        <item x="11"/>
        <item x="50"/>
        <item x="157"/>
        <item x="68"/>
        <item x="84"/>
        <item x="17"/>
        <item x="107"/>
        <item x="86"/>
        <item x="130"/>
        <item x="92"/>
        <item x="16"/>
        <item x="140"/>
        <item x="61"/>
        <item x="48"/>
        <item x="23"/>
        <item x="144"/>
        <item x="125"/>
        <item x="131"/>
        <item x="80"/>
        <item x="35"/>
        <item x="91"/>
        <item x="152"/>
        <item x="59"/>
        <item x="19"/>
        <item x="132"/>
        <item x="41"/>
        <item x="150"/>
        <item x="153"/>
        <item x="8"/>
        <item x="56"/>
        <item x="89"/>
        <item x="165"/>
        <item x="81"/>
        <item x="6"/>
        <item x="53"/>
        <item x="90"/>
        <item x="162"/>
        <item x="33"/>
        <item x="37"/>
        <item x="74"/>
        <item x="117"/>
        <item x="161"/>
        <item x="158"/>
        <item x="156"/>
        <item x="79"/>
        <item x="29"/>
        <item x="71"/>
        <item x="55"/>
        <item x="102"/>
        <item x="30"/>
        <item x="75"/>
        <item x="98"/>
        <item x="70"/>
        <item x="28"/>
        <item x="13"/>
        <item x="54"/>
        <item x="108"/>
        <item x="126"/>
        <item x="167"/>
        <item x="148"/>
        <item x="64"/>
        <item x="101"/>
        <item x="166"/>
        <item x="12"/>
        <item x="123"/>
        <item x="83"/>
        <item x="15"/>
        <item x="5"/>
        <item x="40"/>
        <item x="164"/>
        <item x="88"/>
        <item x="160"/>
        <item x="119"/>
        <item x="82"/>
        <item x="34"/>
        <item x="27"/>
        <item x="105"/>
        <item x="155"/>
        <item x="112"/>
        <item x="114"/>
        <item x="129"/>
        <item x="85"/>
        <item x="42"/>
        <item x="149"/>
        <item x="133"/>
        <item x="57"/>
        <item x="38"/>
        <item x="67"/>
        <item x="143"/>
        <item x="111"/>
        <item x="22"/>
        <item x="151"/>
        <item x="147"/>
        <item x="135"/>
        <item x="134"/>
        <item x="122"/>
        <item x="113"/>
        <item x="66"/>
        <item x="65"/>
        <item x="21"/>
        <item x="49"/>
        <item t="default"/>
      </items>
    </pivotField>
    <pivotField showAll="0">
      <items count="7">
        <item x="3"/>
        <item x="2"/>
        <item x="4"/>
        <item x="1"/>
        <item x="5"/>
        <item x="0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axis="axisCol" showAll="0">
      <items count="6">
        <item x="3"/>
        <item x="4"/>
        <item x="1"/>
        <item x="2"/>
        <item x="0"/>
        <item t="default"/>
      </items>
    </pivotField>
    <pivotField dataField="1" showAll="0"/>
    <pivotField numFmtId="164" showAll="0"/>
    <pivotField numFmtId="165" showAll="0"/>
    <pivotField dataField="1" numFmtId="164"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2">
    <field x="5"/>
    <field x="-2"/>
  </colFields>
  <colItems count="12">
    <i>
      <x/>
      <x/>
    </i>
    <i r="1" i="1">
      <x v="1"/>
    </i>
    <i>
      <x v="1"/>
      <x/>
    </i>
    <i r="1" i="1">
      <x v="1"/>
    </i>
    <i>
      <x v="2"/>
      <x/>
    </i>
    <i r="1" i="1">
      <x v="1"/>
    </i>
    <i>
      <x v="3"/>
      <x/>
    </i>
    <i r="1" i="1">
      <x v="1"/>
    </i>
    <i>
      <x v="4"/>
      <x/>
    </i>
    <i r="1" i="1">
      <x v="1"/>
    </i>
    <i t="grand">
      <x/>
    </i>
    <i t="grand" i="1">
      <x/>
    </i>
  </colItems>
  <dataFields count="2">
    <dataField name=" Total (R$)" fld="9" baseField="3" baseItem="0" numFmtId="164"/>
    <dataField name="Quantidade" fld="6" baseField="3" baseItem="0"/>
  </dataFields>
  <formats count="69">
    <format dxfId="93">
      <pivotArea outline="0" collapsedLevelsAreSubtotals="1" fieldPosition="0"/>
    </format>
    <format dxfId="92">
      <pivotArea type="origin" dataOnly="0" labelOnly="1" outline="0" offset="A2" fieldPosition="0"/>
    </format>
    <format dxfId="91">
      <pivotArea field="3" type="button" dataOnly="0" labelOnly="1" outline="0" axis="axisRow" fieldPosition="0"/>
    </format>
    <format dxfId="90">
      <pivotArea dataOnly="0" labelOnly="1" fieldPosition="0">
        <references count="1">
          <reference field="3" count="0"/>
        </references>
      </pivotArea>
    </format>
    <format dxfId="89">
      <pivotArea dataOnly="0" labelOnly="1" grandRow="1" outline="0" fieldPosition="0"/>
    </format>
    <format dxfId="88">
      <pivotArea dataOnly="0" labelOnly="1" fieldPosition="0">
        <references count="1">
          <reference field="5" count="0"/>
        </references>
      </pivotArea>
    </format>
    <format dxfId="87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86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85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84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83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2"/>
          </reference>
        </references>
      </pivotArea>
    </format>
    <format dxfId="82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3"/>
          </reference>
        </references>
      </pivotArea>
    </format>
    <format dxfId="81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4"/>
          </reference>
        </references>
      </pivotArea>
    </format>
    <format dxfId="80">
      <pivotArea type="origin" dataOnly="0" labelOnly="1" outline="0" fieldPosition="0"/>
    </format>
    <format dxfId="79">
      <pivotArea field="5" type="button" dataOnly="0" labelOnly="1" outline="0" axis="axisCol" fieldPosition="0"/>
    </format>
    <format dxfId="78">
      <pivotArea field="-2" type="button" dataOnly="0" labelOnly="1" outline="0" axis="axisCol" fieldPosition="1"/>
    </format>
    <format dxfId="77">
      <pivotArea type="topRight" dataOnly="0" labelOnly="1" outline="0" fieldPosition="0"/>
    </format>
    <format dxfId="76">
      <pivotArea field="3" type="button" dataOnly="0" labelOnly="1" outline="0" axis="axisRow" fieldPosition="0"/>
    </format>
    <format dxfId="75">
      <pivotArea dataOnly="0" labelOnly="1" fieldPosition="0">
        <references count="1">
          <reference field="5" count="0"/>
        </references>
      </pivotArea>
    </format>
    <format dxfId="74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73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72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71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70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2"/>
          </reference>
        </references>
      </pivotArea>
    </format>
    <format dxfId="69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3"/>
          </reference>
        </references>
      </pivotArea>
    </format>
    <format dxfId="68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4"/>
          </reference>
        </references>
      </pivotArea>
    </format>
    <format dxfId="67">
      <pivotArea grandRow="1" outline="0" collapsedLevelsAreSubtotals="1" fieldPosition="0"/>
    </format>
    <format dxfId="66">
      <pivotArea dataOnly="0" labelOnly="1" grandRow="1" outline="0" fieldPosition="0"/>
    </format>
    <format dxfId="65">
      <pivotArea type="origin" dataOnly="0" labelOnly="1" outline="0" fieldPosition="0"/>
    </format>
    <format dxfId="64">
      <pivotArea field="3" type="button" dataOnly="0" labelOnly="1" outline="0" axis="axisRow" fieldPosition="0"/>
    </format>
    <format dxfId="63">
      <pivotArea grandRow="1" outline="0" collapsedLevelsAreSubtotals="1" fieldPosition="0"/>
    </format>
    <format dxfId="62">
      <pivotArea dataOnly="0" labelOnly="1" grandRow="1" outline="0" fieldPosition="0"/>
    </format>
    <format dxfId="61">
      <pivotArea field="5" type="button" dataOnly="0" labelOnly="1" outline="0" axis="axisCol" fieldPosition="0"/>
    </format>
    <format dxfId="60">
      <pivotArea field="-2" type="button" dataOnly="0" labelOnly="1" outline="0" axis="axisCol" fieldPosition="1"/>
    </format>
    <format dxfId="59">
      <pivotArea type="topRight" dataOnly="0" labelOnly="1" outline="0" fieldPosition="0"/>
    </format>
    <format dxfId="58">
      <pivotArea dataOnly="0" labelOnly="1" fieldPosition="0">
        <references count="1">
          <reference field="5" count="0"/>
        </references>
      </pivotArea>
    </format>
    <format dxfId="57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56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55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54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53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2"/>
          </reference>
        </references>
      </pivotArea>
    </format>
    <format dxfId="52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3"/>
          </reference>
        </references>
      </pivotArea>
    </format>
    <format dxfId="51">
      <pivotArea field="5" type="button" dataOnly="0" labelOnly="1" outline="0" axis="axisCol" fieldPosition="0"/>
    </format>
    <format dxfId="50">
      <pivotArea type="origin" dataOnly="0" labelOnly="1" outline="0" fieldPosition="0"/>
    </format>
    <format dxfId="49">
      <pivotArea field="5" type="button" dataOnly="0" labelOnly="1" outline="0" axis="axisCol" fieldPosition="0"/>
    </format>
    <format dxfId="48">
      <pivotArea field="-2" type="button" dataOnly="0" labelOnly="1" outline="0" axis="axisCol" fieldPosition="1"/>
    </format>
    <format dxfId="47">
      <pivotArea type="topRight" dataOnly="0" labelOnly="1" outline="0" fieldPosition="0"/>
    </format>
    <format dxfId="46">
      <pivotArea field="3" type="button" dataOnly="0" labelOnly="1" outline="0" axis="axisRow" fieldPosition="0"/>
    </format>
    <format dxfId="45">
      <pivotArea dataOnly="0" labelOnly="1" fieldPosition="0">
        <references count="1">
          <reference field="5" count="0"/>
        </references>
      </pivotArea>
    </format>
    <format dxfId="44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43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42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41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40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2"/>
          </reference>
        </references>
      </pivotArea>
    </format>
    <format dxfId="39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3"/>
          </reference>
        </references>
      </pivotArea>
    </format>
    <format dxfId="38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4"/>
          </reference>
        </references>
      </pivotArea>
    </format>
    <format dxfId="37">
      <pivotArea grandRow="1" outline="0" collapsedLevelsAreSubtotals="1" fieldPosition="0"/>
    </format>
    <format dxfId="36">
      <pivotArea dataOnly="0" labelOnly="1" grandRow="1" outline="0" fieldPosition="0"/>
    </format>
    <format dxfId="35">
      <pivotArea field="5" type="button" dataOnly="0" labelOnly="1" outline="0" axis="axisCol" fieldPosition="0"/>
    </format>
    <format dxfId="34">
      <pivotArea field="-2" type="button" dataOnly="0" labelOnly="1" outline="0" axis="axisCol" fieldPosition="1"/>
    </format>
    <format dxfId="33">
      <pivotArea type="topRight" dataOnly="0" labelOnly="1" outline="0" fieldPosition="0"/>
    </format>
    <format dxfId="32">
      <pivotArea dataOnly="0" labelOnly="1" fieldPosition="0">
        <references count="1">
          <reference field="5" count="0"/>
        </references>
      </pivotArea>
    </format>
    <format dxfId="31">
      <pivotArea field="5" dataOnly="0" labelOnly="1" grandCol="1" outline="0" axis="axisCol" fieldPosition="0">
        <references count="1">
          <reference field="4294967294" count="1" selected="0">
            <x v="0"/>
          </reference>
        </references>
      </pivotArea>
    </format>
    <format dxfId="30">
      <pivotArea field="5" dataOnly="0" labelOnly="1" grandCol="1" outline="0" axis="axisCol" fieldPosition="0">
        <references count="1">
          <reference field="4294967294" count="1" selected="0">
            <x v="1"/>
          </reference>
        </references>
      </pivotArea>
    </format>
    <format dxfId="29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0"/>
          </reference>
        </references>
      </pivotArea>
    </format>
    <format dxfId="28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1"/>
          </reference>
        </references>
      </pivotArea>
    </format>
    <format dxfId="27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2"/>
          </reference>
        </references>
      </pivotArea>
    </format>
    <format dxfId="26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3"/>
          </reference>
        </references>
      </pivotArea>
    </format>
    <format dxfId="25">
      <pivotArea dataOnly="0" labelOnly="1" outline="0" fieldPosition="0">
        <references count="2">
          <reference field="4294967294" count="2">
            <x v="0"/>
            <x v="1"/>
          </reference>
          <reference field="5" count="1" selected="0"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713B53-D2DF-43BF-AA73-72370D26D0F6}" name="Tabela dinâmica3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G13:I15" firstHeaderRow="0" firstDataRow="1" firstDataCol="1"/>
  <pivotFields count="14">
    <pivotField showAll="0"/>
    <pivotField axis="axisRow" numFmtId="14" showAll="0">
      <items count="170">
        <item x="73"/>
        <item x="100"/>
        <item x="2"/>
        <item x="52"/>
        <item x="128"/>
        <item x="93"/>
        <item x="95"/>
        <item x="118"/>
        <item x="110"/>
        <item x="36"/>
        <item x="138"/>
        <item x="103"/>
        <item x="146"/>
        <item x="116"/>
        <item x="60"/>
        <item x="159"/>
        <item x="62"/>
        <item x="121"/>
        <item x="26"/>
        <item x="1"/>
        <item x="45"/>
        <item x="25"/>
        <item x="76"/>
        <item x="0"/>
        <item x="31"/>
        <item x="4"/>
        <item x="43"/>
        <item x="14"/>
        <item x="127"/>
        <item x="145"/>
        <item x="104"/>
        <item x="120"/>
        <item x="137"/>
        <item x="94"/>
        <item x="141"/>
        <item x="96"/>
        <item x="77"/>
        <item x="168"/>
        <item x="47"/>
        <item x="39"/>
        <item x="142"/>
        <item x="163"/>
        <item x="124"/>
        <item x="78"/>
        <item x="109"/>
        <item x="32"/>
        <item x="9"/>
        <item x="3"/>
        <item x="46"/>
        <item x="154"/>
        <item x="72"/>
        <item x="69"/>
        <item x="18"/>
        <item x="99"/>
        <item x="58"/>
        <item x="139"/>
        <item x="44"/>
        <item x="51"/>
        <item x="20"/>
        <item x="24"/>
        <item x="63"/>
        <item x="115"/>
        <item x="136"/>
        <item x="10"/>
        <item x="87"/>
        <item x="97"/>
        <item x="7"/>
        <item x="106"/>
        <item x="11"/>
        <item x="50"/>
        <item x="157"/>
        <item x="68"/>
        <item x="84"/>
        <item x="17"/>
        <item x="107"/>
        <item x="86"/>
        <item x="130"/>
        <item x="92"/>
        <item x="16"/>
        <item x="140"/>
        <item x="61"/>
        <item x="48"/>
        <item x="23"/>
        <item x="144"/>
        <item x="125"/>
        <item x="131"/>
        <item x="80"/>
        <item x="35"/>
        <item x="91"/>
        <item x="152"/>
        <item x="59"/>
        <item x="19"/>
        <item x="132"/>
        <item x="41"/>
        <item x="150"/>
        <item x="153"/>
        <item x="8"/>
        <item x="56"/>
        <item x="89"/>
        <item x="165"/>
        <item x="81"/>
        <item x="6"/>
        <item x="53"/>
        <item x="90"/>
        <item x="162"/>
        <item x="33"/>
        <item x="37"/>
        <item x="74"/>
        <item x="117"/>
        <item x="161"/>
        <item x="158"/>
        <item x="156"/>
        <item x="79"/>
        <item x="29"/>
        <item x="71"/>
        <item x="55"/>
        <item x="102"/>
        <item x="30"/>
        <item x="75"/>
        <item x="98"/>
        <item x="70"/>
        <item x="28"/>
        <item x="13"/>
        <item x="54"/>
        <item x="108"/>
        <item x="126"/>
        <item x="167"/>
        <item x="148"/>
        <item x="64"/>
        <item x="101"/>
        <item x="166"/>
        <item x="12"/>
        <item x="123"/>
        <item x="83"/>
        <item x="15"/>
        <item x="5"/>
        <item x="40"/>
        <item x="164"/>
        <item x="88"/>
        <item x="160"/>
        <item x="119"/>
        <item x="82"/>
        <item x="34"/>
        <item x="27"/>
        <item x="105"/>
        <item x="155"/>
        <item x="112"/>
        <item x="114"/>
        <item x="129"/>
        <item x="85"/>
        <item x="42"/>
        <item x="149"/>
        <item x="133"/>
        <item x="57"/>
        <item x="38"/>
        <item x="67"/>
        <item x="143"/>
        <item x="111"/>
        <item x="22"/>
        <item x="151"/>
        <item x="147"/>
        <item x="135"/>
        <item x="134"/>
        <item x="122"/>
        <item x="113"/>
        <item x="66"/>
        <item x="65"/>
        <item x="21"/>
        <item x="49"/>
        <item t="default"/>
      </items>
    </pivotField>
    <pivotField showAll="0">
      <items count="7">
        <item x="3"/>
        <item x="2"/>
        <item x="4"/>
        <item x="1"/>
        <item x="5"/>
        <item x="0"/>
        <item t="default"/>
      </items>
    </pivotField>
    <pivotField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dataField="1" showAll="0"/>
    <pivotField numFmtId="164" showAll="0"/>
    <pivotField numFmtId="165" showAll="0"/>
    <pivotField dataField="1" numFmtId="164" showAll="0"/>
    <pivotField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5">
        <item sd="0" x="0"/>
        <item sd="0" x="1"/>
        <item sd="0" x="2"/>
        <item sd="0" x="3"/>
        <item t="default"/>
      </items>
    </pivotField>
  </pivotFields>
  <rowFields count="2">
    <field x="13"/>
    <field x="1"/>
  </rowFields>
  <rowItems count="2">
    <i>
      <x v="1"/>
    </i>
    <i>
      <x v="2"/>
    </i>
  </rowItems>
  <colFields count="1">
    <field x="-2"/>
  </colFields>
  <colItems count="2">
    <i>
      <x/>
    </i>
    <i i="1">
      <x v="1"/>
    </i>
  </colItems>
  <dataFields count="2">
    <dataField name="Quantidade total" fld="6" baseField="13" baseItem="1"/>
    <dataField name=" Total (R$)" fld="9" baseField="13" baseItem="1" numFmtId="164"/>
  </dataFields>
  <formats count="6">
    <format dxfId="99">
      <pivotArea field="13" type="button" dataOnly="0" labelOnly="1" outline="0" axis="axisRow" fieldPosition="0"/>
    </format>
    <format dxfId="9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7">
      <pivotArea field="13" type="button" dataOnly="0" labelOnly="1" outline="0" axis="axisRow" fieldPosition="0"/>
    </format>
    <format dxfId="9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95">
      <pivotArea field="13" type="button" dataOnly="0" labelOnly="1" outline="0" axis="axisRow" fieldPosition="0"/>
    </format>
    <format dxfId="9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B0AD4B-FF52-4416-9ED7-562DA81D599E}" name="Tabela dinâmica5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C20:D26" firstHeaderRow="1" firstDataRow="1" firstDataCol="1"/>
  <pivotFields count="14">
    <pivotField showAll="0"/>
    <pivotField numFmtId="14" showAll="0">
      <items count="170">
        <item x="73"/>
        <item x="100"/>
        <item x="2"/>
        <item x="52"/>
        <item x="128"/>
        <item x="93"/>
        <item x="95"/>
        <item x="118"/>
        <item x="110"/>
        <item x="36"/>
        <item x="138"/>
        <item x="103"/>
        <item x="146"/>
        <item x="116"/>
        <item x="60"/>
        <item x="159"/>
        <item x="62"/>
        <item x="121"/>
        <item x="26"/>
        <item x="1"/>
        <item x="45"/>
        <item x="25"/>
        <item x="76"/>
        <item x="0"/>
        <item x="31"/>
        <item x="4"/>
        <item x="43"/>
        <item x="14"/>
        <item x="127"/>
        <item x="145"/>
        <item x="104"/>
        <item x="120"/>
        <item x="137"/>
        <item x="94"/>
        <item x="141"/>
        <item x="96"/>
        <item x="77"/>
        <item x="168"/>
        <item x="47"/>
        <item x="39"/>
        <item x="142"/>
        <item x="163"/>
        <item x="124"/>
        <item x="78"/>
        <item x="109"/>
        <item x="32"/>
        <item x="9"/>
        <item x="3"/>
        <item x="46"/>
        <item x="154"/>
        <item x="72"/>
        <item x="69"/>
        <item x="18"/>
        <item x="99"/>
        <item x="58"/>
        <item x="139"/>
        <item x="44"/>
        <item x="51"/>
        <item x="20"/>
        <item x="24"/>
        <item x="63"/>
        <item x="115"/>
        <item x="136"/>
        <item x="10"/>
        <item x="87"/>
        <item x="97"/>
        <item x="7"/>
        <item x="106"/>
        <item x="11"/>
        <item x="50"/>
        <item x="157"/>
        <item x="68"/>
        <item x="84"/>
        <item x="17"/>
        <item x="107"/>
        <item x="86"/>
        <item x="130"/>
        <item x="92"/>
        <item x="16"/>
        <item x="140"/>
        <item x="61"/>
        <item x="48"/>
        <item x="23"/>
        <item x="144"/>
        <item x="125"/>
        <item x="131"/>
        <item x="80"/>
        <item x="35"/>
        <item x="91"/>
        <item x="152"/>
        <item x="59"/>
        <item x="19"/>
        <item x="132"/>
        <item x="41"/>
        <item x="150"/>
        <item x="153"/>
        <item x="8"/>
        <item x="56"/>
        <item x="89"/>
        <item x="165"/>
        <item x="81"/>
        <item x="6"/>
        <item x="53"/>
        <item x="90"/>
        <item x="162"/>
        <item x="33"/>
        <item x="37"/>
        <item x="74"/>
        <item x="117"/>
        <item x="161"/>
        <item x="158"/>
        <item x="156"/>
        <item x="79"/>
        <item x="29"/>
        <item x="71"/>
        <item x="55"/>
        <item x="102"/>
        <item x="30"/>
        <item x="75"/>
        <item x="98"/>
        <item x="70"/>
        <item x="28"/>
        <item x="13"/>
        <item x="54"/>
        <item x="108"/>
        <item x="126"/>
        <item x="167"/>
        <item x="148"/>
        <item x="64"/>
        <item x="101"/>
        <item x="166"/>
        <item x="12"/>
        <item x="123"/>
        <item x="83"/>
        <item x="15"/>
        <item x="5"/>
        <item x="40"/>
        <item x="164"/>
        <item x="88"/>
        <item x="160"/>
        <item x="119"/>
        <item x="82"/>
        <item x="34"/>
        <item x="27"/>
        <item x="105"/>
        <item x="155"/>
        <item x="112"/>
        <item x="114"/>
        <item x="129"/>
        <item x="85"/>
        <item x="42"/>
        <item x="149"/>
        <item x="133"/>
        <item x="57"/>
        <item x="38"/>
        <item x="67"/>
        <item x="143"/>
        <item x="111"/>
        <item x="22"/>
        <item x="151"/>
        <item x="147"/>
        <item x="135"/>
        <item x="134"/>
        <item x="122"/>
        <item x="113"/>
        <item x="66"/>
        <item x="65"/>
        <item x="21"/>
        <item x="49"/>
        <item t="default"/>
      </items>
    </pivotField>
    <pivotField showAll="0">
      <items count="7">
        <item h="1" x="3"/>
        <item x="2"/>
        <item h="1" x="4"/>
        <item h="1" x="1"/>
        <item h="1" x="5"/>
        <item h="1" x="0"/>
        <item t="default"/>
      </items>
    </pivotField>
    <pivotField axis="axisRow" showAll="0">
      <items count="6">
        <item x="3"/>
        <item x="2"/>
        <item x="1"/>
        <item x="0"/>
        <item x="4"/>
        <item t="default"/>
      </items>
    </pivotField>
    <pivotField showAll="0"/>
    <pivotField showAll="0"/>
    <pivotField showAll="0"/>
    <pivotField numFmtId="164" showAll="0"/>
    <pivotField numFmtId="165" showAll="0"/>
    <pivotField dataField="1" numFmtId="164" showAll="0"/>
    <pivotField showAll="0"/>
    <pivotField showAll="0" defaultSubtotal="0"/>
    <pivotField showAll="0" defaultSubtotal="0"/>
    <pivotField showAll="0" defaultSubtotal="0">
      <items count="4">
        <item x="0"/>
        <item x="1"/>
        <item x="2"/>
        <item x="3"/>
      </items>
    </pivotField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oma de Total (R$)" fld="9" baseField="0" baseItem="0" numFmtId="164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21E93D8-CA62-4286-B911-9C89705937B5}" name="Tabela dinâmica1" cacheId="0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 chartFormat="10">
  <location ref="Q3:S16" firstHeaderRow="1" firstDataRow="2" firstDataCol="1"/>
  <pivotFields count="14">
    <pivotField showAll="0"/>
    <pivotField numFmtId="14" showAll="0">
      <items count="170">
        <item x="73"/>
        <item x="100"/>
        <item x="2"/>
        <item x="52"/>
        <item x="128"/>
        <item x="93"/>
        <item x="95"/>
        <item x="118"/>
        <item x="110"/>
        <item x="36"/>
        <item x="138"/>
        <item x="103"/>
        <item x="146"/>
        <item x="116"/>
        <item x="60"/>
        <item x="159"/>
        <item x="62"/>
        <item x="121"/>
        <item x="26"/>
        <item x="1"/>
        <item x="45"/>
        <item x="25"/>
        <item x="76"/>
        <item x="0"/>
        <item x="31"/>
        <item x="4"/>
        <item x="43"/>
        <item x="14"/>
        <item x="127"/>
        <item x="145"/>
        <item x="104"/>
        <item x="120"/>
        <item x="137"/>
        <item x="94"/>
        <item x="141"/>
        <item x="96"/>
        <item x="77"/>
        <item x="168"/>
        <item x="47"/>
        <item x="39"/>
        <item x="142"/>
        <item x="163"/>
        <item x="124"/>
        <item x="78"/>
        <item x="109"/>
        <item x="32"/>
        <item x="9"/>
        <item x="3"/>
        <item x="46"/>
        <item x="154"/>
        <item x="72"/>
        <item x="69"/>
        <item x="18"/>
        <item x="99"/>
        <item x="58"/>
        <item x="139"/>
        <item x="44"/>
        <item x="51"/>
        <item x="20"/>
        <item x="24"/>
        <item x="63"/>
        <item x="115"/>
        <item x="136"/>
        <item x="10"/>
        <item x="87"/>
        <item x="97"/>
        <item x="7"/>
        <item x="106"/>
        <item x="11"/>
        <item x="50"/>
        <item x="157"/>
        <item x="68"/>
        <item x="84"/>
        <item x="17"/>
        <item x="107"/>
        <item x="86"/>
        <item x="130"/>
        <item x="92"/>
        <item x="16"/>
        <item x="140"/>
        <item x="61"/>
        <item x="48"/>
        <item x="23"/>
        <item x="144"/>
        <item x="125"/>
        <item x="131"/>
        <item x="80"/>
        <item x="35"/>
        <item x="91"/>
        <item x="152"/>
        <item x="59"/>
        <item x="19"/>
        <item x="132"/>
        <item x="41"/>
        <item x="150"/>
        <item x="153"/>
        <item x="8"/>
        <item x="56"/>
        <item x="89"/>
        <item x="165"/>
        <item x="81"/>
        <item x="6"/>
        <item x="53"/>
        <item x="90"/>
        <item x="162"/>
        <item x="33"/>
        <item x="37"/>
        <item x="74"/>
        <item x="117"/>
        <item x="161"/>
        <item x="158"/>
        <item x="156"/>
        <item x="79"/>
        <item x="29"/>
        <item x="71"/>
        <item x="55"/>
        <item x="102"/>
        <item x="30"/>
        <item x="75"/>
        <item x="98"/>
        <item x="70"/>
        <item x="28"/>
        <item x="13"/>
        <item x="54"/>
        <item x="108"/>
        <item x="126"/>
        <item x="167"/>
        <item x="148"/>
        <item x="64"/>
        <item x="101"/>
        <item x="166"/>
        <item x="12"/>
        <item x="123"/>
        <item x="83"/>
        <item x="15"/>
        <item x="5"/>
        <item x="40"/>
        <item x="164"/>
        <item x="88"/>
        <item x="160"/>
        <item x="119"/>
        <item x="82"/>
        <item x="34"/>
        <item x="27"/>
        <item x="105"/>
        <item x="155"/>
        <item x="112"/>
        <item x="114"/>
        <item x="129"/>
        <item x="85"/>
        <item x="42"/>
        <item x="149"/>
        <item x="133"/>
        <item x="57"/>
        <item x="38"/>
        <item x="67"/>
        <item x="143"/>
        <item x="111"/>
        <item x="22"/>
        <item x="151"/>
        <item x="147"/>
        <item x="135"/>
        <item x="134"/>
        <item x="122"/>
        <item x="113"/>
        <item x="66"/>
        <item x="65"/>
        <item x="21"/>
        <item x="49"/>
        <item t="default"/>
      </items>
    </pivotField>
    <pivotField showAll="0"/>
    <pivotField showAll="0"/>
    <pivotField showAll="0"/>
    <pivotField showAll="0"/>
    <pivotField showAll="0"/>
    <pivotField numFmtId="164" showAll="0"/>
    <pivotField numFmtId="165" showAll="0"/>
    <pivotField dataField="1" numFmtId="164" showAll="0"/>
    <pivotField showAll="0"/>
    <pivotField axis="axisRow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howAll="0" defaultSubtotal="0"/>
    <pivotField axis="axisCol" showAll="0" defaultSubtotal="0">
      <items count="4">
        <item x="0"/>
        <item x="1"/>
        <item x="2"/>
        <item x="3"/>
      </items>
    </pivotField>
  </pivotFields>
  <rowFields count="1">
    <field x="11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13"/>
  </colFields>
  <colItems count="2">
    <i>
      <x v="1"/>
    </i>
    <i>
      <x v="2"/>
    </i>
  </colItems>
  <dataFields count="1">
    <dataField name="Soma de Total (R$)" fld="9" baseField="0" baseItem="0" numFmtId="164"/>
  </dataFields>
  <chartFormats count="7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9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9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" xr10:uid="{633A70D1-1C13-4C79-BC62-0D00AAB2CF2B}" sourceName="Vendedor">
  <pivotTables>
    <pivotTable tabId="3" name="Tabela dinâmica3"/>
    <pivotTable tabId="3" name="Tabela dinâmica2"/>
    <pivotTable tabId="3" name="Tabela dinâmica1"/>
  </pivotTables>
  <data>
    <tabular pivotCacheId="1948014486">
      <items count="6">
        <i x="3" s="1"/>
        <i x="2" s="1"/>
        <i x="4" s="1"/>
        <i x="1" s="1"/>
        <i x="5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Região" xr10:uid="{212E32E0-A408-404F-84EB-091901DA44D5}" sourceName="Região">
  <pivotTables>
    <pivotTable tabId="3" name="Tabela dinâmica3"/>
    <pivotTable tabId="3" name="Tabela dinâmica2"/>
  </pivotTables>
  <data>
    <tabular pivotCacheId="1948014486">
      <items count="5">
        <i x="3" s="1"/>
        <i x="2" s="1"/>
        <i x="1" s="1"/>
        <i x="0" s="1"/>
        <i x="4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Vendedor1" xr10:uid="{8C706C77-95E5-4865-A57F-D401CB1A9675}" sourceName="Vendedor">
  <pivotTables>
    <pivotTable tabId="4" name="Tabela dinâmica5"/>
  </pivotTables>
  <data>
    <tabular pivotCacheId="1948014486">
      <items count="6">
        <i x="3"/>
        <i x="2" s="1"/>
        <i x="4"/>
        <i x="1"/>
        <i x="5"/>
        <i x="0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" xr10:uid="{4DA56117-204B-4898-A779-BDEB18869945}" cache="SegmentaçãodeDados_Vendedor" caption="Vendedor" columnCount="2" rowHeight="241300"/>
  <slicer name="Região" xr10:uid="{C16242DA-D99F-4124-AF5E-0DA796D7E7E0}" cache="SegmentaçãodeDados_Região" caption="Região" columnCount="2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Vendedor 1" xr10:uid="{66EE2C7B-F4EF-4E90-89A1-184754EB4C72}" cache="SegmentaçãodeDados_Vendedor1" caption="Vendedor" rowHeight="468000"/>
</slicer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6" Type="http://schemas.openxmlformats.org/officeDocument/2006/relationships/comments" Target="../comments1.xml"/><Relationship Id="rId5" Type="http://schemas.microsoft.com/office/2007/relationships/slicer" Target="../slicers/slicer2.xml"/><Relationship Id="rId4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1"/>
  <sheetViews>
    <sheetView zoomScaleNormal="100" workbookViewId="0">
      <pane ySplit="1" topLeftCell="A78" activePane="bottomLeft" state="frozen"/>
      <selection pane="bottomLeft" activeCell="J2" sqref="J2"/>
    </sheetView>
  </sheetViews>
  <sheetFormatPr defaultColWidth="8.6328125" defaultRowHeight="14.5" x14ac:dyDescent="0.35"/>
  <cols>
    <col min="1" max="1" width="12" customWidth="1"/>
    <col min="2" max="2" width="14" style="11" customWidth="1"/>
    <col min="3" max="3" width="18" customWidth="1"/>
    <col min="4" max="4" width="15" customWidth="1"/>
    <col min="5" max="5" width="24" customWidth="1"/>
    <col min="6" max="6" width="16" customWidth="1"/>
    <col min="7" max="7" width="8" customWidth="1"/>
    <col min="8" max="8" width="18" customWidth="1"/>
    <col min="9" max="9" width="14" customWidth="1"/>
    <col min="10" max="10" width="18" customWidth="1"/>
    <col min="11" max="11" width="12" customWidth="1"/>
  </cols>
  <sheetData>
    <row r="1" spans="1:11" ht="30" customHeight="1" x14ac:dyDescent="0.35">
      <c r="A1" s="1" t="s">
        <v>0</v>
      </c>
      <c r="B1" s="10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s="2" t="s">
        <v>11</v>
      </c>
      <c r="B2" s="3">
        <v>45383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4</v>
      </c>
      <c r="H2" s="4">
        <v>271.12</v>
      </c>
      <c r="I2" s="5">
        <v>0</v>
      </c>
      <c r="J2" s="4">
        <f t="shared" ref="J2:J33" si="0">G2*H2*(1-I2/100)</f>
        <v>1084.48</v>
      </c>
      <c r="K2" s="2" t="s">
        <v>16</v>
      </c>
    </row>
    <row r="3" spans="1:11" x14ac:dyDescent="0.35">
      <c r="A3" s="6" t="s">
        <v>17</v>
      </c>
      <c r="B3" s="7">
        <v>45370</v>
      </c>
      <c r="C3" s="6" t="s">
        <v>18</v>
      </c>
      <c r="D3" s="6" t="s">
        <v>19</v>
      </c>
      <c r="E3" s="6" t="s">
        <v>20</v>
      </c>
      <c r="F3" s="6" t="s">
        <v>21</v>
      </c>
      <c r="G3" s="6">
        <v>2</v>
      </c>
      <c r="H3" s="8">
        <v>3054.91</v>
      </c>
      <c r="I3" s="9">
        <v>10</v>
      </c>
      <c r="J3" s="8">
        <f t="shared" si="0"/>
        <v>5498.8379999999997</v>
      </c>
      <c r="K3" s="6" t="s">
        <v>26</v>
      </c>
    </row>
    <row r="4" spans="1:11" x14ac:dyDescent="0.35">
      <c r="A4" s="2" t="s">
        <v>22</v>
      </c>
      <c r="B4" s="3">
        <v>45309</v>
      </c>
      <c r="C4" s="2" t="s">
        <v>23</v>
      </c>
      <c r="D4" s="2" t="s">
        <v>24</v>
      </c>
      <c r="E4" s="2" t="s">
        <v>25</v>
      </c>
      <c r="F4" s="2" t="s">
        <v>21</v>
      </c>
      <c r="G4" s="2">
        <v>4</v>
      </c>
      <c r="H4" s="4">
        <v>526.4</v>
      </c>
      <c r="I4" s="5">
        <v>0</v>
      </c>
      <c r="J4" s="4">
        <f t="shared" si="0"/>
        <v>2105.6</v>
      </c>
      <c r="K4" s="2" t="s">
        <v>26</v>
      </c>
    </row>
    <row r="5" spans="1:11" x14ac:dyDescent="0.35">
      <c r="A5" s="6" t="s">
        <v>27</v>
      </c>
      <c r="B5" s="7">
        <v>45466</v>
      </c>
      <c r="C5" s="6" t="s">
        <v>18</v>
      </c>
      <c r="D5" s="6" t="s">
        <v>13</v>
      </c>
      <c r="E5" s="6" t="s">
        <v>28</v>
      </c>
      <c r="F5" s="6" t="s">
        <v>29</v>
      </c>
      <c r="G5" s="6">
        <v>3</v>
      </c>
      <c r="H5" s="8">
        <v>1716.89</v>
      </c>
      <c r="I5" s="9">
        <v>20</v>
      </c>
      <c r="J5" s="8">
        <f t="shared" si="0"/>
        <v>4120.5360000000001</v>
      </c>
      <c r="K5" s="6" t="s">
        <v>26</v>
      </c>
    </row>
    <row r="6" spans="1:11" x14ac:dyDescent="0.35">
      <c r="A6" s="2" t="s">
        <v>30</v>
      </c>
      <c r="B6" s="3">
        <v>45385</v>
      </c>
      <c r="C6" s="2" t="s">
        <v>18</v>
      </c>
      <c r="D6" s="2" t="s">
        <v>19</v>
      </c>
      <c r="E6" s="2" t="s">
        <v>31</v>
      </c>
      <c r="F6" s="2" t="s">
        <v>29</v>
      </c>
      <c r="G6" s="2">
        <v>14</v>
      </c>
      <c r="H6" s="4">
        <v>1183.19</v>
      </c>
      <c r="I6" s="5">
        <v>0</v>
      </c>
      <c r="J6" s="4">
        <f t="shared" si="0"/>
        <v>16564.66</v>
      </c>
      <c r="K6" s="2" t="s">
        <v>26</v>
      </c>
    </row>
    <row r="7" spans="1:11" x14ac:dyDescent="0.35">
      <c r="A7" s="6" t="s">
        <v>32</v>
      </c>
      <c r="B7" s="7">
        <v>45734</v>
      </c>
      <c r="C7" s="6" t="s">
        <v>33</v>
      </c>
      <c r="D7" s="6" t="s">
        <v>34</v>
      </c>
      <c r="E7" s="6" t="s">
        <v>35</v>
      </c>
      <c r="F7" s="6" t="s">
        <v>21</v>
      </c>
      <c r="G7" s="6">
        <v>9</v>
      </c>
      <c r="H7" s="8">
        <v>924.63</v>
      </c>
      <c r="I7" s="9">
        <v>15</v>
      </c>
      <c r="J7" s="8">
        <f t="shared" si="0"/>
        <v>7073.4195</v>
      </c>
      <c r="K7" s="6" t="s">
        <v>16</v>
      </c>
    </row>
    <row r="8" spans="1:11" x14ac:dyDescent="0.35">
      <c r="A8" s="2" t="s">
        <v>36</v>
      </c>
      <c r="B8" s="3">
        <v>45645</v>
      </c>
      <c r="C8" s="2" t="s">
        <v>23</v>
      </c>
      <c r="D8" s="2" t="s">
        <v>19</v>
      </c>
      <c r="E8" s="2" t="s">
        <v>20</v>
      </c>
      <c r="F8" s="2" t="s">
        <v>21</v>
      </c>
      <c r="G8" s="2">
        <v>11</v>
      </c>
      <c r="H8" s="4">
        <v>3062.32</v>
      </c>
      <c r="I8" s="5">
        <v>0</v>
      </c>
      <c r="J8" s="4">
        <f t="shared" si="0"/>
        <v>33685.520000000004</v>
      </c>
      <c r="K8" s="2" t="s">
        <v>26</v>
      </c>
    </row>
    <row r="9" spans="1:11" x14ac:dyDescent="0.35">
      <c r="A9" s="6" t="s">
        <v>37</v>
      </c>
      <c r="B9" s="7">
        <v>45532</v>
      </c>
      <c r="C9" s="6" t="s">
        <v>33</v>
      </c>
      <c r="D9" s="6" t="s">
        <v>34</v>
      </c>
      <c r="E9" s="6" t="s">
        <v>28</v>
      </c>
      <c r="F9" s="6" t="s">
        <v>29</v>
      </c>
      <c r="G9" s="6">
        <v>8</v>
      </c>
      <c r="H9" s="8">
        <v>1906.06</v>
      </c>
      <c r="I9" s="9">
        <v>0</v>
      </c>
      <c r="J9" s="8">
        <f t="shared" si="0"/>
        <v>15248.48</v>
      </c>
      <c r="K9" s="6" t="s">
        <v>26</v>
      </c>
    </row>
    <row r="10" spans="1:11" x14ac:dyDescent="0.35">
      <c r="A10" s="2" t="s">
        <v>38</v>
      </c>
      <c r="B10" s="3">
        <v>45638</v>
      </c>
      <c r="C10" s="2" t="s">
        <v>23</v>
      </c>
      <c r="D10" s="2" t="s">
        <v>13</v>
      </c>
      <c r="E10" s="2" t="s">
        <v>39</v>
      </c>
      <c r="F10" s="2" t="s">
        <v>40</v>
      </c>
      <c r="G10" s="2">
        <v>15</v>
      </c>
      <c r="H10" s="4">
        <v>48.19</v>
      </c>
      <c r="I10" s="5">
        <v>0</v>
      </c>
      <c r="J10" s="4">
        <f t="shared" si="0"/>
        <v>722.84999999999991</v>
      </c>
      <c r="K10" s="2" t="s">
        <v>16</v>
      </c>
    </row>
    <row r="11" spans="1:11" x14ac:dyDescent="0.35">
      <c r="A11" s="6" t="s">
        <v>41</v>
      </c>
      <c r="B11" s="7">
        <v>45461</v>
      </c>
      <c r="C11" s="6" t="s">
        <v>12</v>
      </c>
      <c r="D11" s="6" t="s">
        <v>42</v>
      </c>
      <c r="E11" s="6" t="s">
        <v>43</v>
      </c>
      <c r="F11" s="6" t="s">
        <v>15</v>
      </c>
      <c r="G11" s="6">
        <v>8</v>
      </c>
      <c r="H11" s="8">
        <v>378.05</v>
      </c>
      <c r="I11" s="9">
        <v>15</v>
      </c>
      <c r="J11" s="8">
        <f t="shared" si="0"/>
        <v>2570.7400000000002</v>
      </c>
      <c r="K11" s="6" t="s">
        <v>16</v>
      </c>
    </row>
    <row r="12" spans="1:11" x14ac:dyDescent="0.35">
      <c r="A12" s="2" t="s">
        <v>44</v>
      </c>
      <c r="B12" s="3">
        <v>45526</v>
      </c>
      <c r="C12" s="2" t="s">
        <v>45</v>
      </c>
      <c r="D12" s="2" t="s">
        <v>19</v>
      </c>
      <c r="E12" s="2" t="s">
        <v>14</v>
      </c>
      <c r="F12" s="2" t="s">
        <v>15</v>
      </c>
      <c r="G12" s="2">
        <v>14</v>
      </c>
      <c r="H12" s="4">
        <v>263.33</v>
      </c>
      <c r="I12" s="5">
        <v>0</v>
      </c>
      <c r="J12" s="4">
        <f t="shared" si="0"/>
        <v>3686.62</v>
      </c>
      <c r="K12" s="2" t="s">
        <v>46</v>
      </c>
    </row>
    <row r="13" spans="1:11" x14ac:dyDescent="0.35">
      <c r="A13" s="6" t="s">
        <v>47</v>
      </c>
      <c r="B13" s="7">
        <v>45538</v>
      </c>
      <c r="C13" s="6" t="s">
        <v>23</v>
      </c>
      <c r="D13" s="6" t="s">
        <v>24</v>
      </c>
      <c r="E13" s="6" t="s">
        <v>39</v>
      </c>
      <c r="F13" s="6" t="s">
        <v>40</v>
      </c>
      <c r="G13" s="6">
        <v>6</v>
      </c>
      <c r="H13" s="8">
        <v>42.89</v>
      </c>
      <c r="I13" s="9">
        <v>5</v>
      </c>
      <c r="J13" s="8">
        <f t="shared" si="0"/>
        <v>244.47300000000001</v>
      </c>
      <c r="K13" s="6" t="s">
        <v>46</v>
      </c>
    </row>
    <row r="14" spans="1:11" x14ac:dyDescent="0.35">
      <c r="A14" s="2" t="s">
        <v>48</v>
      </c>
      <c r="B14" s="3">
        <v>45721</v>
      </c>
      <c r="C14" s="2" t="s">
        <v>45</v>
      </c>
      <c r="D14" s="2" t="s">
        <v>42</v>
      </c>
      <c r="E14" s="2" t="s">
        <v>14</v>
      </c>
      <c r="F14" s="2" t="s">
        <v>15</v>
      </c>
      <c r="G14" s="2">
        <v>12</v>
      </c>
      <c r="H14" s="4">
        <v>301.7</v>
      </c>
      <c r="I14" s="5">
        <v>0</v>
      </c>
      <c r="J14" s="4">
        <f t="shared" si="0"/>
        <v>3620.3999999999996</v>
      </c>
      <c r="K14" s="2" t="s">
        <v>16</v>
      </c>
    </row>
    <row r="15" spans="1:11" x14ac:dyDescent="0.35">
      <c r="A15" s="6" t="s">
        <v>49</v>
      </c>
      <c r="B15" s="7">
        <v>45707</v>
      </c>
      <c r="C15" s="6" t="s">
        <v>18</v>
      </c>
      <c r="D15" s="6" t="s">
        <v>13</v>
      </c>
      <c r="E15" s="6" t="s">
        <v>14</v>
      </c>
      <c r="F15" s="6" t="s">
        <v>15</v>
      </c>
      <c r="G15" s="6">
        <v>3</v>
      </c>
      <c r="H15" s="8">
        <v>297.94</v>
      </c>
      <c r="I15" s="9">
        <v>0</v>
      </c>
      <c r="J15" s="8">
        <f t="shared" si="0"/>
        <v>893.81999999999994</v>
      </c>
      <c r="K15" s="6" t="s">
        <v>26</v>
      </c>
    </row>
    <row r="16" spans="1:11" x14ac:dyDescent="0.35">
      <c r="A16" s="2" t="s">
        <v>50</v>
      </c>
      <c r="B16" s="3">
        <v>45387</v>
      </c>
      <c r="C16" s="2" t="s">
        <v>12</v>
      </c>
      <c r="D16" s="2" t="s">
        <v>42</v>
      </c>
      <c r="E16" s="2" t="s">
        <v>51</v>
      </c>
      <c r="F16" s="2" t="s">
        <v>21</v>
      </c>
      <c r="G16" s="2">
        <v>7</v>
      </c>
      <c r="H16" s="4">
        <v>818.3</v>
      </c>
      <c r="I16" s="5">
        <v>5</v>
      </c>
      <c r="J16" s="4">
        <f t="shared" si="0"/>
        <v>5441.6949999999988</v>
      </c>
      <c r="K16" s="2" t="s">
        <v>46</v>
      </c>
    </row>
    <row r="17" spans="1:11" x14ac:dyDescent="0.35">
      <c r="A17" s="6" t="s">
        <v>52</v>
      </c>
      <c r="B17" s="7">
        <v>45733</v>
      </c>
      <c r="C17" s="6" t="s">
        <v>45</v>
      </c>
      <c r="D17" s="6" t="s">
        <v>24</v>
      </c>
      <c r="E17" s="6" t="s">
        <v>20</v>
      </c>
      <c r="F17" s="6" t="s">
        <v>21</v>
      </c>
      <c r="G17" s="6">
        <v>11</v>
      </c>
      <c r="H17" s="8">
        <v>3456.58</v>
      </c>
      <c r="I17" s="9">
        <v>15</v>
      </c>
      <c r="J17" s="8">
        <f t="shared" si="0"/>
        <v>32319.022999999997</v>
      </c>
      <c r="K17" s="6" t="s">
        <v>16</v>
      </c>
    </row>
    <row r="18" spans="1:11" x14ac:dyDescent="0.35">
      <c r="A18" s="2" t="s">
        <v>53</v>
      </c>
      <c r="B18" s="3">
        <v>45560</v>
      </c>
      <c r="C18" s="2" t="s">
        <v>12</v>
      </c>
      <c r="D18" s="2" t="s">
        <v>13</v>
      </c>
      <c r="E18" s="2" t="s">
        <v>35</v>
      </c>
      <c r="F18" s="2" t="s">
        <v>21</v>
      </c>
      <c r="G18" s="2">
        <v>5</v>
      </c>
      <c r="H18" s="4">
        <v>958.26</v>
      </c>
      <c r="I18" s="5">
        <v>5</v>
      </c>
      <c r="J18" s="4">
        <f t="shared" si="0"/>
        <v>4551.7349999999997</v>
      </c>
      <c r="K18" s="2" t="s">
        <v>26</v>
      </c>
    </row>
    <row r="19" spans="1:11" x14ac:dyDescent="0.35">
      <c r="A19" s="6" t="s">
        <v>54</v>
      </c>
      <c r="B19" s="7">
        <v>45552</v>
      </c>
      <c r="C19" s="6" t="s">
        <v>23</v>
      </c>
      <c r="D19" s="6" t="s">
        <v>24</v>
      </c>
      <c r="E19" s="6" t="s">
        <v>35</v>
      </c>
      <c r="F19" s="6" t="s">
        <v>21</v>
      </c>
      <c r="G19" s="6">
        <v>14</v>
      </c>
      <c r="H19" s="8">
        <v>1003.51</v>
      </c>
      <c r="I19" s="9">
        <v>20</v>
      </c>
      <c r="J19" s="8">
        <f t="shared" si="0"/>
        <v>11239.312</v>
      </c>
      <c r="K19" s="6" t="s">
        <v>16</v>
      </c>
    </row>
    <row r="20" spans="1:11" x14ac:dyDescent="0.35">
      <c r="A20" s="2" t="s">
        <v>55</v>
      </c>
      <c r="B20" s="3">
        <v>45478</v>
      </c>
      <c r="C20" s="2" t="s">
        <v>45</v>
      </c>
      <c r="D20" s="2" t="s">
        <v>42</v>
      </c>
      <c r="E20" s="2" t="s">
        <v>56</v>
      </c>
      <c r="F20" s="2" t="s">
        <v>57</v>
      </c>
      <c r="G20" s="2">
        <v>13</v>
      </c>
      <c r="H20" s="4">
        <v>350.49</v>
      </c>
      <c r="I20" s="5">
        <v>0</v>
      </c>
      <c r="J20" s="4">
        <f t="shared" si="0"/>
        <v>4556.37</v>
      </c>
      <c r="K20" s="2" t="s">
        <v>16</v>
      </c>
    </row>
    <row r="21" spans="1:11" x14ac:dyDescent="0.35">
      <c r="A21" s="6" t="s">
        <v>58</v>
      </c>
      <c r="B21" s="7">
        <v>45612</v>
      </c>
      <c r="C21" s="6" t="s">
        <v>33</v>
      </c>
      <c r="D21" s="6" t="s">
        <v>19</v>
      </c>
      <c r="E21" s="6" t="s">
        <v>31</v>
      </c>
      <c r="F21" s="6" t="s">
        <v>29</v>
      </c>
      <c r="G21" s="6">
        <v>15</v>
      </c>
      <c r="H21" s="8">
        <v>1375.6</v>
      </c>
      <c r="I21" s="9">
        <v>20</v>
      </c>
      <c r="J21" s="8">
        <f t="shared" si="0"/>
        <v>16507.2</v>
      </c>
      <c r="K21" s="6" t="s">
        <v>26</v>
      </c>
    </row>
    <row r="22" spans="1:11" x14ac:dyDescent="0.35">
      <c r="A22" s="2" t="s">
        <v>59</v>
      </c>
      <c r="B22" s="3">
        <v>45506</v>
      </c>
      <c r="C22" s="2" t="s">
        <v>23</v>
      </c>
      <c r="D22" s="2" t="s">
        <v>24</v>
      </c>
      <c r="E22" s="2" t="s">
        <v>35</v>
      </c>
      <c r="F22" s="2" t="s">
        <v>21</v>
      </c>
      <c r="G22" s="2">
        <v>2</v>
      </c>
      <c r="H22" s="4">
        <v>1028.83</v>
      </c>
      <c r="I22" s="5">
        <v>20</v>
      </c>
      <c r="J22" s="4">
        <f t="shared" si="0"/>
        <v>1646.1279999999999</v>
      </c>
      <c r="K22" s="2" t="s">
        <v>26</v>
      </c>
    </row>
    <row r="23" spans="1:11" x14ac:dyDescent="0.35">
      <c r="A23" s="6" t="s">
        <v>60</v>
      </c>
      <c r="B23" s="7">
        <v>45833</v>
      </c>
      <c r="C23" s="6" t="s">
        <v>23</v>
      </c>
      <c r="D23" s="6" t="s">
        <v>42</v>
      </c>
      <c r="E23" s="6" t="s">
        <v>51</v>
      </c>
      <c r="F23" s="6" t="s">
        <v>21</v>
      </c>
      <c r="G23" s="6">
        <v>8</v>
      </c>
      <c r="H23" s="8">
        <v>886.64</v>
      </c>
      <c r="I23" s="9">
        <v>0</v>
      </c>
      <c r="J23" s="8">
        <f t="shared" si="0"/>
        <v>7093.12</v>
      </c>
      <c r="K23" s="6" t="s">
        <v>26</v>
      </c>
    </row>
    <row r="24" spans="1:11" x14ac:dyDescent="0.35">
      <c r="A24" s="2" t="s">
        <v>61</v>
      </c>
      <c r="B24" s="3">
        <v>45805</v>
      </c>
      <c r="C24" s="2" t="s">
        <v>62</v>
      </c>
      <c r="D24" s="2" t="s">
        <v>34</v>
      </c>
      <c r="E24" s="2" t="s">
        <v>14</v>
      </c>
      <c r="F24" s="2" t="s">
        <v>15</v>
      </c>
      <c r="G24" s="2">
        <v>15</v>
      </c>
      <c r="H24" s="4">
        <v>300.10000000000002</v>
      </c>
      <c r="I24" s="5">
        <v>15</v>
      </c>
      <c r="J24" s="4">
        <f t="shared" si="0"/>
        <v>3826.2750000000001</v>
      </c>
      <c r="K24" s="2" t="s">
        <v>26</v>
      </c>
    </row>
    <row r="25" spans="1:11" x14ac:dyDescent="0.35">
      <c r="A25" s="6" t="s">
        <v>63</v>
      </c>
      <c r="B25" s="7">
        <v>45578</v>
      </c>
      <c r="C25" s="6" t="s">
        <v>12</v>
      </c>
      <c r="D25" s="6" t="s">
        <v>13</v>
      </c>
      <c r="E25" s="6" t="s">
        <v>64</v>
      </c>
      <c r="F25" s="6" t="s">
        <v>15</v>
      </c>
      <c r="G25" s="6">
        <v>15</v>
      </c>
      <c r="H25" s="8">
        <v>349.99</v>
      </c>
      <c r="I25" s="9">
        <v>0</v>
      </c>
      <c r="J25" s="8">
        <f t="shared" si="0"/>
        <v>5249.85</v>
      </c>
      <c r="K25" s="6" t="s">
        <v>26</v>
      </c>
    </row>
    <row r="26" spans="1:11" x14ac:dyDescent="0.35">
      <c r="A26" s="2" t="s">
        <v>65</v>
      </c>
      <c r="B26" s="3">
        <v>45507</v>
      </c>
      <c r="C26" s="2" t="s">
        <v>45</v>
      </c>
      <c r="D26" s="2" t="s">
        <v>19</v>
      </c>
      <c r="E26" s="2" t="s">
        <v>66</v>
      </c>
      <c r="F26" s="2" t="s">
        <v>57</v>
      </c>
      <c r="G26" s="2">
        <v>9</v>
      </c>
      <c r="H26" s="4">
        <v>402.16</v>
      </c>
      <c r="I26" s="5">
        <v>0</v>
      </c>
      <c r="J26" s="4">
        <f t="shared" si="0"/>
        <v>3619.44</v>
      </c>
      <c r="K26" s="2" t="s">
        <v>26</v>
      </c>
    </row>
    <row r="27" spans="1:11" x14ac:dyDescent="0.35">
      <c r="A27" s="6" t="s">
        <v>67</v>
      </c>
      <c r="B27" s="7">
        <v>45374</v>
      </c>
      <c r="C27" s="6" t="s">
        <v>12</v>
      </c>
      <c r="D27" s="6" t="s">
        <v>19</v>
      </c>
      <c r="E27" s="6" t="s">
        <v>14</v>
      </c>
      <c r="F27" s="6" t="s">
        <v>15</v>
      </c>
      <c r="G27" s="6">
        <v>2</v>
      </c>
      <c r="H27" s="8">
        <v>326.64</v>
      </c>
      <c r="I27" s="9">
        <v>20</v>
      </c>
      <c r="J27" s="8">
        <f t="shared" si="0"/>
        <v>522.62400000000002</v>
      </c>
      <c r="K27" s="6" t="s">
        <v>26</v>
      </c>
    </row>
    <row r="28" spans="1:11" x14ac:dyDescent="0.35">
      <c r="A28" s="2" t="s">
        <v>68</v>
      </c>
      <c r="B28" s="3">
        <v>45368</v>
      </c>
      <c r="C28" s="2" t="s">
        <v>23</v>
      </c>
      <c r="D28" s="2" t="s">
        <v>13</v>
      </c>
      <c r="E28" s="2" t="s">
        <v>51</v>
      </c>
      <c r="F28" s="2" t="s">
        <v>21</v>
      </c>
      <c r="G28" s="2">
        <v>8</v>
      </c>
      <c r="H28" s="4">
        <v>743.78</v>
      </c>
      <c r="I28" s="5">
        <v>0</v>
      </c>
      <c r="J28" s="4">
        <f t="shared" si="0"/>
        <v>5950.24</v>
      </c>
      <c r="K28" s="2" t="s">
        <v>16</v>
      </c>
    </row>
    <row r="29" spans="1:11" x14ac:dyDescent="0.35">
      <c r="A29" s="6" t="s">
        <v>69</v>
      </c>
      <c r="B29" s="7">
        <v>45755</v>
      </c>
      <c r="C29" s="6" t="s">
        <v>18</v>
      </c>
      <c r="D29" s="6" t="s">
        <v>34</v>
      </c>
      <c r="E29" s="6" t="s">
        <v>14</v>
      </c>
      <c r="F29" s="6" t="s">
        <v>15</v>
      </c>
      <c r="G29" s="6">
        <v>2</v>
      </c>
      <c r="H29" s="8">
        <v>268.02999999999997</v>
      </c>
      <c r="I29" s="9">
        <v>5</v>
      </c>
      <c r="J29" s="8">
        <f t="shared" si="0"/>
        <v>509.25699999999995</v>
      </c>
      <c r="K29" s="6" t="s">
        <v>26</v>
      </c>
    </row>
    <row r="30" spans="1:11" x14ac:dyDescent="0.35">
      <c r="A30" s="2" t="s">
        <v>70</v>
      </c>
      <c r="B30" s="3">
        <v>45702</v>
      </c>
      <c r="C30" s="2" t="s">
        <v>18</v>
      </c>
      <c r="D30" s="2" t="s">
        <v>19</v>
      </c>
      <c r="E30" s="2" t="s">
        <v>51</v>
      </c>
      <c r="F30" s="2" t="s">
        <v>21</v>
      </c>
      <c r="G30" s="2">
        <v>11</v>
      </c>
      <c r="H30" s="4">
        <v>893.91</v>
      </c>
      <c r="I30" s="5">
        <v>0</v>
      </c>
      <c r="J30" s="4">
        <f t="shared" si="0"/>
        <v>9833.01</v>
      </c>
      <c r="K30" s="2" t="s">
        <v>26</v>
      </c>
    </row>
    <row r="31" spans="1:11" x14ac:dyDescent="0.35">
      <c r="A31" s="6" t="s">
        <v>71</v>
      </c>
      <c r="B31" s="7">
        <v>45681</v>
      </c>
      <c r="C31" s="6" t="s">
        <v>45</v>
      </c>
      <c r="D31" s="6" t="s">
        <v>19</v>
      </c>
      <c r="E31" s="6" t="s">
        <v>14</v>
      </c>
      <c r="F31" s="6" t="s">
        <v>15</v>
      </c>
      <c r="G31" s="6">
        <v>4</v>
      </c>
      <c r="H31" s="8">
        <v>274.79000000000002</v>
      </c>
      <c r="I31" s="9">
        <v>5</v>
      </c>
      <c r="J31" s="8">
        <f t="shared" si="0"/>
        <v>1044.202</v>
      </c>
      <c r="K31" s="6" t="s">
        <v>26</v>
      </c>
    </row>
    <row r="32" spans="1:11" x14ac:dyDescent="0.35">
      <c r="A32" s="2" t="s">
        <v>72</v>
      </c>
      <c r="B32" s="3">
        <v>45694</v>
      </c>
      <c r="C32" s="2" t="s">
        <v>45</v>
      </c>
      <c r="D32" s="2" t="s">
        <v>34</v>
      </c>
      <c r="E32" s="2" t="s">
        <v>14</v>
      </c>
      <c r="F32" s="2" t="s">
        <v>15</v>
      </c>
      <c r="G32" s="2">
        <v>14</v>
      </c>
      <c r="H32" s="4">
        <v>327.94</v>
      </c>
      <c r="I32" s="5">
        <v>5</v>
      </c>
      <c r="J32" s="4">
        <f t="shared" si="0"/>
        <v>4361.6019999999999</v>
      </c>
      <c r="K32" s="2" t="s">
        <v>16</v>
      </c>
    </row>
    <row r="33" spans="1:11" x14ac:dyDescent="0.35">
      <c r="A33" s="6" t="s">
        <v>73</v>
      </c>
      <c r="B33" s="7">
        <v>45384</v>
      </c>
      <c r="C33" s="6" t="s">
        <v>12</v>
      </c>
      <c r="D33" s="6" t="s">
        <v>24</v>
      </c>
      <c r="E33" s="6" t="s">
        <v>20</v>
      </c>
      <c r="F33" s="6" t="s">
        <v>21</v>
      </c>
      <c r="G33" s="6">
        <v>2</v>
      </c>
      <c r="H33" s="8">
        <v>3621.09</v>
      </c>
      <c r="I33" s="9">
        <v>20</v>
      </c>
      <c r="J33" s="8">
        <f t="shared" si="0"/>
        <v>5793.7440000000006</v>
      </c>
      <c r="K33" s="6" t="s">
        <v>26</v>
      </c>
    </row>
    <row r="34" spans="1:11" x14ac:dyDescent="0.35">
      <c r="A34" s="2" t="s">
        <v>74</v>
      </c>
      <c r="B34" s="3">
        <v>45457</v>
      </c>
      <c r="C34" s="2" t="s">
        <v>18</v>
      </c>
      <c r="D34" s="2" t="s">
        <v>34</v>
      </c>
      <c r="E34" s="2" t="s">
        <v>14</v>
      </c>
      <c r="F34" s="2" t="s">
        <v>15</v>
      </c>
      <c r="G34" s="2">
        <v>14</v>
      </c>
      <c r="H34" s="4">
        <v>290.08</v>
      </c>
      <c r="I34" s="5">
        <v>0</v>
      </c>
      <c r="J34" s="4">
        <f t="shared" ref="J34:J65" si="1">G34*H34*(1-I34/100)</f>
        <v>4061.12</v>
      </c>
      <c r="K34" s="2" t="s">
        <v>26</v>
      </c>
    </row>
    <row r="35" spans="1:11" x14ac:dyDescent="0.35">
      <c r="A35" s="6" t="s">
        <v>75</v>
      </c>
      <c r="B35" s="7">
        <v>45658</v>
      </c>
      <c r="C35" s="6" t="s">
        <v>18</v>
      </c>
      <c r="D35" s="6" t="s">
        <v>13</v>
      </c>
      <c r="E35" s="6" t="s">
        <v>64</v>
      </c>
      <c r="F35" s="6" t="s">
        <v>15</v>
      </c>
      <c r="G35" s="6">
        <v>5</v>
      </c>
      <c r="H35" s="8">
        <v>341.96</v>
      </c>
      <c r="I35" s="9">
        <v>15</v>
      </c>
      <c r="J35" s="8">
        <f t="shared" si="1"/>
        <v>1453.33</v>
      </c>
      <c r="K35" s="6" t="s">
        <v>16</v>
      </c>
    </row>
    <row r="36" spans="1:11" x14ac:dyDescent="0.35">
      <c r="A36" s="2" t="s">
        <v>76</v>
      </c>
      <c r="B36" s="3">
        <v>45752</v>
      </c>
      <c r="C36" s="2" t="s">
        <v>23</v>
      </c>
      <c r="D36" s="2" t="s">
        <v>13</v>
      </c>
      <c r="E36" s="2" t="s">
        <v>14</v>
      </c>
      <c r="F36" s="2" t="s">
        <v>15</v>
      </c>
      <c r="G36" s="2">
        <v>1</v>
      </c>
      <c r="H36" s="4">
        <v>302.99</v>
      </c>
      <c r="I36" s="5">
        <v>10</v>
      </c>
      <c r="J36" s="4">
        <f t="shared" si="1"/>
        <v>272.69100000000003</v>
      </c>
      <c r="K36" s="2" t="s">
        <v>26</v>
      </c>
    </row>
    <row r="37" spans="1:11" x14ac:dyDescent="0.35">
      <c r="A37" s="6" t="s">
        <v>77</v>
      </c>
      <c r="B37" s="7">
        <v>45598</v>
      </c>
      <c r="C37" s="6" t="s">
        <v>33</v>
      </c>
      <c r="D37" s="6" t="s">
        <v>24</v>
      </c>
      <c r="E37" s="6" t="s">
        <v>64</v>
      </c>
      <c r="F37" s="6" t="s">
        <v>15</v>
      </c>
      <c r="G37" s="6">
        <v>9</v>
      </c>
      <c r="H37" s="8">
        <v>384.15</v>
      </c>
      <c r="I37" s="9">
        <v>10</v>
      </c>
      <c r="J37" s="8">
        <f t="shared" si="1"/>
        <v>3111.6149999999998</v>
      </c>
      <c r="K37" s="6" t="s">
        <v>26</v>
      </c>
    </row>
    <row r="38" spans="1:11" x14ac:dyDescent="0.35">
      <c r="A38" s="2" t="s">
        <v>78</v>
      </c>
      <c r="B38" s="3">
        <v>45339</v>
      </c>
      <c r="C38" s="2" t="s">
        <v>33</v>
      </c>
      <c r="D38" s="2" t="s">
        <v>42</v>
      </c>
      <c r="E38" s="2" t="s">
        <v>35</v>
      </c>
      <c r="F38" s="2" t="s">
        <v>21</v>
      </c>
      <c r="G38" s="2">
        <v>10</v>
      </c>
      <c r="H38" s="4">
        <v>871.14</v>
      </c>
      <c r="I38" s="5">
        <v>20</v>
      </c>
      <c r="J38" s="4">
        <f t="shared" si="1"/>
        <v>6969.12</v>
      </c>
      <c r="K38" s="2" t="s">
        <v>26</v>
      </c>
    </row>
    <row r="39" spans="1:11" x14ac:dyDescent="0.35">
      <c r="A39" s="6" t="s">
        <v>79</v>
      </c>
      <c r="B39" s="7">
        <v>45661</v>
      </c>
      <c r="C39" s="6" t="s">
        <v>62</v>
      </c>
      <c r="D39" s="6" t="s">
        <v>42</v>
      </c>
      <c r="E39" s="6" t="s">
        <v>66</v>
      </c>
      <c r="F39" s="6" t="s">
        <v>57</v>
      </c>
      <c r="G39" s="6">
        <v>10</v>
      </c>
      <c r="H39" s="8">
        <v>382.17</v>
      </c>
      <c r="I39" s="9">
        <v>0</v>
      </c>
      <c r="J39" s="8">
        <f t="shared" si="1"/>
        <v>3821.7000000000003</v>
      </c>
      <c r="K39" s="6" t="s">
        <v>46</v>
      </c>
    </row>
    <row r="40" spans="1:11" x14ac:dyDescent="0.35">
      <c r="A40" s="2" t="s">
        <v>80</v>
      </c>
      <c r="B40" s="3">
        <v>45788</v>
      </c>
      <c r="C40" s="2" t="s">
        <v>45</v>
      </c>
      <c r="D40" s="2" t="s">
        <v>42</v>
      </c>
      <c r="E40" s="2" t="s">
        <v>51</v>
      </c>
      <c r="F40" s="2" t="s">
        <v>21</v>
      </c>
      <c r="G40" s="2">
        <v>12</v>
      </c>
      <c r="H40" s="4">
        <v>763.27</v>
      </c>
      <c r="I40" s="5">
        <v>0</v>
      </c>
      <c r="J40" s="4">
        <f t="shared" si="1"/>
        <v>9159.24</v>
      </c>
      <c r="K40" s="2" t="s">
        <v>46</v>
      </c>
    </row>
    <row r="41" spans="1:11" x14ac:dyDescent="0.35">
      <c r="A41" s="6" t="s">
        <v>81</v>
      </c>
      <c r="B41" s="7">
        <v>45434</v>
      </c>
      <c r="C41" s="6" t="s">
        <v>12</v>
      </c>
      <c r="D41" s="6" t="s">
        <v>13</v>
      </c>
      <c r="E41" s="6" t="s">
        <v>64</v>
      </c>
      <c r="F41" s="6" t="s">
        <v>15</v>
      </c>
      <c r="G41" s="6">
        <v>6</v>
      </c>
      <c r="H41" s="8">
        <v>384.97</v>
      </c>
      <c r="I41" s="9">
        <v>0</v>
      </c>
      <c r="J41" s="8">
        <f t="shared" si="1"/>
        <v>2309.8200000000002</v>
      </c>
      <c r="K41" s="6" t="s">
        <v>26</v>
      </c>
    </row>
    <row r="42" spans="1:11" x14ac:dyDescent="0.35">
      <c r="A42" s="2" t="s">
        <v>82</v>
      </c>
      <c r="B42" s="3">
        <v>45736</v>
      </c>
      <c r="C42" s="2" t="s">
        <v>62</v>
      </c>
      <c r="D42" s="2" t="s">
        <v>19</v>
      </c>
      <c r="E42" s="2" t="s">
        <v>35</v>
      </c>
      <c r="F42" s="2" t="s">
        <v>21</v>
      </c>
      <c r="G42" s="2">
        <v>9</v>
      </c>
      <c r="H42" s="4">
        <v>905.62</v>
      </c>
      <c r="I42" s="5">
        <v>0</v>
      </c>
      <c r="J42" s="4">
        <f t="shared" si="1"/>
        <v>8150.58</v>
      </c>
      <c r="K42" s="2" t="s">
        <v>26</v>
      </c>
    </row>
    <row r="43" spans="1:11" x14ac:dyDescent="0.35">
      <c r="A43" s="6" t="s">
        <v>83</v>
      </c>
      <c r="B43" s="7">
        <v>45629</v>
      </c>
      <c r="C43" s="6" t="s">
        <v>23</v>
      </c>
      <c r="D43" s="6" t="s">
        <v>13</v>
      </c>
      <c r="E43" s="6" t="s">
        <v>28</v>
      </c>
      <c r="F43" s="6" t="s">
        <v>29</v>
      </c>
      <c r="G43" s="6">
        <v>3</v>
      </c>
      <c r="H43" s="8">
        <v>1817.18</v>
      </c>
      <c r="I43" s="9">
        <v>10</v>
      </c>
      <c r="J43" s="8">
        <f t="shared" si="1"/>
        <v>4906.3860000000004</v>
      </c>
      <c r="K43" s="6" t="s">
        <v>26</v>
      </c>
    </row>
    <row r="44" spans="1:11" x14ac:dyDescent="0.35">
      <c r="A44" s="2" t="s">
        <v>84</v>
      </c>
      <c r="B44" s="3">
        <v>45778</v>
      </c>
      <c r="C44" s="2" t="s">
        <v>12</v>
      </c>
      <c r="D44" s="2" t="s">
        <v>24</v>
      </c>
      <c r="E44" s="2" t="s">
        <v>28</v>
      </c>
      <c r="F44" s="2" t="s">
        <v>29</v>
      </c>
      <c r="G44" s="2">
        <v>15</v>
      </c>
      <c r="H44" s="4">
        <v>1918.52</v>
      </c>
      <c r="I44" s="5">
        <v>0</v>
      </c>
      <c r="J44" s="4">
        <f t="shared" si="1"/>
        <v>28777.8</v>
      </c>
      <c r="K44" s="2" t="s">
        <v>26</v>
      </c>
    </row>
    <row r="45" spans="1:11" x14ac:dyDescent="0.35">
      <c r="A45" s="6" t="s">
        <v>85</v>
      </c>
      <c r="B45" s="7">
        <v>45386</v>
      </c>
      <c r="C45" s="6" t="s">
        <v>12</v>
      </c>
      <c r="D45" s="6" t="s">
        <v>24</v>
      </c>
      <c r="E45" s="6" t="s">
        <v>43</v>
      </c>
      <c r="F45" s="6" t="s">
        <v>15</v>
      </c>
      <c r="G45" s="6">
        <v>5</v>
      </c>
      <c r="H45" s="8">
        <v>368.77</v>
      </c>
      <c r="I45" s="9">
        <v>0</v>
      </c>
      <c r="J45" s="8">
        <f t="shared" si="1"/>
        <v>1843.85</v>
      </c>
      <c r="K45" s="6" t="s">
        <v>26</v>
      </c>
    </row>
    <row r="46" spans="1:11" x14ac:dyDescent="0.35">
      <c r="A46" s="2" t="s">
        <v>86</v>
      </c>
      <c r="B46" s="3">
        <v>45495</v>
      </c>
      <c r="C46" s="2" t="s">
        <v>12</v>
      </c>
      <c r="D46" s="2" t="s">
        <v>13</v>
      </c>
      <c r="E46" s="2" t="s">
        <v>56</v>
      </c>
      <c r="F46" s="2" t="s">
        <v>57</v>
      </c>
      <c r="G46" s="2">
        <v>8</v>
      </c>
      <c r="H46" s="4">
        <v>298.45999999999998</v>
      </c>
      <c r="I46" s="5">
        <v>20</v>
      </c>
      <c r="J46" s="4">
        <f t="shared" si="1"/>
        <v>1910.144</v>
      </c>
      <c r="K46" s="2" t="s">
        <v>26</v>
      </c>
    </row>
    <row r="47" spans="1:11" x14ac:dyDescent="0.35">
      <c r="A47" s="6" t="s">
        <v>87</v>
      </c>
      <c r="B47" s="7">
        <v>45372</v>
      </c>
      <c r="C47" s="6" t="s">
        <v>18</v>
      </c>
      <c r="D47" s="6" t="s">
        <v>13</v>
      </c>
      <c r="E47" s="6" t="s">
        <v>20</v>
      </c>
      <c r="F47" s="6" t="s">
        <v>21</v>
      </c>
      <c r="G47" s="6">
        <v>1</v>
      </c>
      <c r="H47" s="8">
        <v>3146.85</v>
      </c>
      <c r="I47" s="9">
        <v>0</v>
      </c>
      <c r="J47" s="8">
        <f t="shared" si="1"/>
        <v>3146.85</v>
      </c>
      <c r="K47" s="6" t="s">
        <v>26</v>
      </c>
    </row>
    <row r="48" spans="1:11" x14ac:dyDescent="0.35">
      <c r="A48" s="2" t="s">
        <v>88</v>
      </c>
      <c r="B48" s="3">
        <v>45467</v>
      </c>
      <c r="C48" s="2" t="s">
        <v>18</v>
      </c>
      <c r="D48" s="2" t="s">
        <v>24</v>
      </c>
      <c r="E48" s="2" t="s">
        <v>39</v>
      </c>
      <c r="F48" s="2" t="s">
        <v>40</v>
      </c>
      <c r="G48" s="2">
        <v>7</v>
      </c>
      <c r="H48" s="4">
        <v>46.81</v>
      </c>
      <c r="I48" s="5">
        <v>0</v>
      </c>
      <c r="J48" s="4">
        <f t="shared" si="1"/>
        <v>327.67</v>
      </c>
      <c r="K48" s="2" t="s">
        <v>26</v>
      </c>
    </row>
    <row r="49" spans="1:11" x14ac:dyDescent="0.35">
      <c r="A49" s="6" t="s">
        <v>89</v>
      </c>
      <c r="B49" s="7">
        <v>45430</v>
      </c>
      <c r="C49" s="6" t="s">
        <v>33</v>
      </c>
      <c r="D49" s="6" t="s">
        <v>13</v>
      </c>
      <c r="E49" s="6" t="s">
        <v>66</v>
      </c>
      <c r="F49" s="6" t="s">
        <v>57</v>
      </c>
      <c r="G49" s="6">
        <v>9</v>
      </c>
      <c r="H49" s="8">
        <v>393.55</v>
      </c>
      <c r="I49" s="9">
        <v>0</v>
      </c>
      <c r="J49" s="8">
        <f t="shared" si="1"/>
        <v>3541.9500000000003</v>
      </c>
      <c r="K49" s="6" t="s">
        <v>26</v>
      </c>
    </row>
    <row r="50" spans="1:11" x14ac:dyDescent="0.35">
      <c r="A50" s="2" t="s">
        <v>90</v>
      </c>
      <c r="B50" s="3">
        <v>45577</v>
      </c>
      <c r="C50" s="2" t="s">
        <v>33</v>
      </c>
      <c r="D50" s="2" t="s">
        <v>13</v>
      </c>
      <c r="E50" s="2" t="s">
        <v>14</v>
      </c>
      <c r="F50" s="2" t="s">
        <v>15</v>
      </c>
      <c r="G50" s="2">
        <v>11</v>
      </c>
      <c r="H50" s="4">
        <v>279.08999999999997</v>
      </c>
      <c r="I50" s="5">
        <v>0</v>
      </c>
      <c r="J50" s="4">
        <f t="shared" si="1"/>
        <v>3069.99</v>
      </c>
      <c r="K50" s="2" t="s">
        <v>26</v>
      </c>
    </row>
    <row r="51" spans="1:11" x14ac:dyDescent="0.35">
      <c r="A51" s="6" t="s">
        <v>91</v>
      </c>
      <c r="B51" s="7">
        <v>45836</v>
      </c>
      <c r="C51" s="6" t="s">
        <v>18</v>
      </c>
      <c r="D51" s="6" t="s">
        <v>24</v>
      </c>
      <c r="E51" s="6" t="s">
        <v>39</v>
      </c>
      <c r="F51" s="6" t="s">
        <v>40</v>
      </c>
      <c r="G51" s="6">
        <v>3</v>
      </c>
      <c r="H51" s="8">
        <v>50.91</v>
      </c>
      <c r="I51" s="9">
        <v>0</v>
      </c>
      <c r="J51" s="8">
        <f t="shared" si="1"/>
        <v>152.72999999999999</v>
      </c>
      <c r="K51" s="6" t="s">
        <v>26</v>
      </c>
    </row>
    <row r="52" spans="1:11" x14ac:dyDescent="0.35">
      <c r="A52" s="2" t="s">
        <v>92</v>
      </c>
      <c r="B52" s="3">
        <v>45457</v>
      </c>
      <c r="C52" s="2" t="s">
        <v>33</v>
      </c>
      <c r="D52" s="2" t="s">
        <v>42</v>
      </c>
      <c r="E52" s="2" t="s">
        <v>39</v>
      </c>
      <c r="F52" s="2" t="s">
        <v>40</v>
      </c>
      <c r="G52" s="2">
        <v>15</v>
      </c>
      <c r="H52" s="4">
        <v>44.24</v>
      </c>
      <c r="I52" s="5">
        <v>5</v>
      </c>
      <c r="J52" s="4">
        <f t="shared" si="1"/>
        <v>630.41999999999996</v>
      </c>
      <c r="K52" s="2" t="s">
        <v>26</v>
      </c>
    </row>
    <row r="53" spans="1:11" x14ac:dyDescent="0.35">
      <c r="A53" s="6" t="s">
        <v>93</v>
      </c>
      <c r="B53" s="7">
        <v>45541</v>
      </c>
      <c r="C53" s="6" t="s">
        <v>12</v>
      </c>
      <c r="D53" s="6" t="s">
        <v>19</v>
      </c>
      <c r="E53" s="6" t="s">
        <v>25</v>
      </c>
      <c r="F53" s="6" t="s">
        <v>21</v>
      </c>
      <c r="G53" s="6">
        <v>14</v>
      </c>
      <c r="H53" s="8">
        <v>473.03</v>
      </c>
      <c r="I53" s="9">
        <v>5</v>
      </c>
      <c r="J53" s="8">
        <f t="shared" si="1"/>
        <v>6291.299</v>
      </c>
      <c r="K53" s="6" t="s">
        <v>26</v>
      </c>
    </row>
    <row r="54" spans="1:11" x14ac:dyDescent="0.35">
      <c r="A54" s="2" t="s">
        <v>94</v>
      </c>
      <c r="B54" s="3">
        <v>45500</v>
      </c>
      <c r="C54" s="2" t="s">
        <v>18</v>
      </c>
      <c r="D54" s="2" t="s">
        <v>13</v>
      </c>
      <c r="E54" s="2" t="s">
        <v>28</v>
      </c>
      <c r="F54" s="2" t="s">
        <v>29</v>
      </c>
      <c r="G54" s="2">
        <v>14</v>
      </c>
      <c r="H54" s="4">
        <v>1977.91</v>
      </c>
      <c r="I54" s="5">
        <v>0</v>
      </c>
      <c r="J54" s="4">
        <f t="shared" si="1"/>
        <v>27690.74</v>
      </c>
      <c r="K54" s="2" t="s">
        <v>26</v>
      </c>
    </row>
    <row r="55" spans="1:11" x14ac:dyDescent="0.35">
      <c r="A55" s="6" t="s">
        <v>95</v>
      </c>
      <c r="B55" s="7">
        <v>45313</v>
      </c>
      <c r="C55" s="6" t="s">
        <v>23</v>
      </c>
      <c r="D55" s="6" t="s">
        <v>34</v>
      </c>
      <c r="E55" s="6" t="s">
        <v>31</v>
      </c>
      <c r="F55" s="6" t="s">
        <v>29</v>
      </c>
      <c r="G55" s="6">
        <v>5</v>
      </c>
      <c r="H55" s="8">
        <v>1339.31</v>
      </c>
      <c r="I55" s="9">
        <v>20</v>
      </c>
      <c r="J55" s="8">
        <f t="shared" si="1"/>
        <v>5357.24</v>
      </c>
      <c r="K55" s="6" t="s">
        <v>26</v>
      </c>
    </row>
    <row r="56" spans="1:11" x14ac:dyDescent="0.35">
      <c r="A56" s="2" t="s">
        <v>96</v>
      </c>
      <c r="B56" s="3">
        <v>45647</v>
      </c>
      <c r="C56" s="2" t="s">
        <v>62</v>
      </c>
      <c r="D56" s="2" t="s">
        <v>34</v>
      </c>
      <c r="E56" s="2" t="s">
        <v>51</v>
      </c>
      <c r="F56" s="2" t="s">
        <v>21</v>
      </c>
      <c r="G56" s="2">
        <v>14</v>
      </c>
      <c r="H56" s="4">
        <v>806.56</v>
      </c>
      <c r="I56" s="5">
        <v>0</v>
      </c>
      <c r="J56" s="4">
        <f t="shared" si="1"/>
        <v>11291.84</v>
      </c>
      <c r="K56" s="2" t="s">
        <v>26</v>
      </c>
    </row>
    <row r="57" spans="1:11" x14ac:dyDescent="0.35">
      <c r="A57" s="6" t="s">
        <v>97</v>
      </c>
      <c r="B57" s="7">
        <v>45541</v>
      </c>
      <c r="C57" s="6" t="s">
        <v>62</v>
      </c>
      <c r="D57" s="6" t="s">
        <v>13</v>
      </c>
      <c r="E57" s="6" t="s">
        <v>20</v>
      </c>
      <c r="F57" s="6" t="s">
        <v>21</v>
      </c>
      <c r="G57" s="6">
        <v>2</v>
      </c>
      <c r="H57" s="8">
        <v>3357.26</v>
      </c>
      <c r="I57" s="9">
        <v>0</v>
      </c>
      <c r="J57" s="8">
        <f t="shared" si="1"/>
        <v>6714.52</v>
      </c>
      <c r="K57" s="6" t="s">
        <v>26</v>
      </c>
    </row>
    <row r="58" spans="1:11" x14ac:dyDescent="0.35">
      <c r="A58" s="2" t="s">
        <v>98</v>
      </c>
      <c r="B58" s="3">
        <v>45708</v>
      </c>
      <c r="C58" s="2" t="s">
        <v>62</v>
      </c>
      <c r="D58" s="2" t="s">
        <v>19</v>
      </c>
      <c r="E58" s="2" t="s">
        <v>25</v>
      </c>
      <c r="F58" s="2" t="s">
        <v>21</v>
      </c>
      <c r="G58" s="2">
        <v>15</v>
      </c>
      <c r="H58" s="4">
        <v>542.96</v>
      </c>
      <c r="I58" s="5">
        <v>0</v>
      </c>
      <c r="J58" s="4">
        <f t="shared" si="1"/>
        <v>8144.4000000000005</v>
      </c>
      <c r="K58" s="2" t="s">
        <v>26</v>
      </c>
    </row>
    <row r="59" spans="1:11" x14ac:dyDescent="0.35">
      <c r="A59" s="6" t="s">
        <v>99</v>
      </c>
      <c r="B59" s="7">
        <v>45689</v>
      </c>
      <c r="C59" s="6" t="s">
        <v>62</v>
      </c>
      <c r="D59" s="6" t="s">
        <v>24</v>
      </c>
      <c r="E59" s="6" t="s">
        <v>51</v>
      </c>
      <c r="F59" s="6" t="s">
        <v>21</v>
      </c>
      <c r="G59" s="6">
        <v>12</v>
      </c>
      <c r="H59" s="8">
        <v>885.35</v>
      </c>
      <c r="I59" s="9">
        <v>15</v>
      </c>
      <c r="J59" s="8">
        <f t="shared" si="1"/>
        <v>9030.57</v>
      </c>
      <c r="K59" s="6" t="s">
        <v>26</v>
      </c>
    </row>
    <row r="60" spans="1:11" x14ac:dyDescent="0.35">
      <c r="A60" s="2" t="s">
        <v>100</v>
      </c>
      <c r="B60" s="3">
        <v>45640</v>
      </c>
      <c r="C60" s="2" t="s">
        <v>33</v>
      </c>
      <c r="D60" s="2" t="s">
        <v>13</v>
      </c>
      <c r="E60" s="2" t="s">
        <v>66</v>
      </c>
      <c r="F60" s="2" t="s">
        <v>57</v>
      </c>
      <c r="G60" s="2">
        <v>6</v>
      </c>
      <c r="H60" s="4">
        <v>447.66</v>
      </c>
      <c r="I60" s="5">
        <v>0</v>
      </c>
      <c r="J60" s="4">
        <f t="shared" si="1"/>
        <v>2685.96</v>
      </c>
      <c r="K60" s="2" t="s">
        <v>26</v>
      </c>
    </row>
    <row r="61" spans="1:11" x14ac:dyDescent="0.35">
      <c r="A61" s="6" t="s">
        <v>101</v>
      </c>
      <c r="B61" s="7">
        <v>45787</v>
      </c>
      <c r="C61" s="6" t="s">
        <v>12</v>
      </c>
      <c r="D61" s="6" t="s">
        <v>34</v>
      </c>
      <c r="E61" s="6" t="s">
        <v>31</v>
      </c>
      <c r="F61" s="6" t="s">
        <v>29</v>
      </c>
      <c r="G61" s="6">
        <v>7</v>
      </c>
      <c r="H61" s="8">
        <v>1289.1600000000001</v>
      </c>
      <c r="I61" s="9">
        <v>10</v>
      </c>
      <c r="J61" s="8">
        <f t="shared" si="1"/>
        <v>8121.7080000000005</v>
      </c>
      <c r="K61" s="6" t="s">
        <v>26</v>
      </c>
    </row>
    <row r="62" spans="1:11" x14ac:dyDescent="0.35">
      <c r="A62" s="2" t="s">
        <v>102</v>
      </c>
      <c r="B62" s="3">
        <v>45487</v>
      </c>
      <c r="C62" s="2" t="s">
        <v>12</v>
      </c>
      <c r="D62" s="2" t="s">
        <v>34</v>
      </c>
      <c r="E62" s="2" t="s">
        <v>51</v>
      </c>
      <c r="F62" s="2" t="s">
        <v>21</v>
      </c>
      <c r="G62" s="2">
        <v>12</v>
      </c>
      <c r="H62" s="4">
        <v>878.05</v>
      </c>
      <c r="I62" s="5">
        <v>10</v>
      </c>
      <c r="J62" s="4">
        <f t="shared" si="1"/>
        <v>9482.9399999999987</v>
      </c>
      <c r="K62" s="2" t="s">
        <v>16</v>
      </c>
    </row>
    <row r="63" spans="1:11" x14ac:dyDescent="0.35">
      <c r="A63" s="6" t="s">
        <v>103</v>
      </c>
      <c r="B63" s="7">
        <v>45578</v>
      </c>
      <c r="C63" s="6" t="s">
        <v>62</v>
      </c>
      <c r="D63" s="6" t="s">
        <v>19</v>
      </c>
      <c r="E63" s="6" t="s">
        <v>28</v>
      </c>
      <c r="F63" s="6" t="s">
        <v>29</v>
      </c>
      <c r="G63" s="6">
        <v>5</v>
      </c>
      <c r="H63" s="8">
        <v>1714.58</v>
      </c>
      <c r="I63" s="9">
        <v>20</v>
      </c>
      <c r="J63" s="8">
        <f t="shared" si="1"/>
        <v>6858.32</v>
      </c>
      <c r="K63" s="6" t="s">
        <v>16</v>
      </c>
    </row>
    <row r="64" spans="1:11" x14ac:dyDescent="0.35">
      <c r="A64" s="2" t="s">
        <v>104</v>
      </c>
      <c r="B64" s="3">
        <v>45611</v>
      </c>
      <c r="C64" s="2" t="s">
        <v>18</v>
      </c>
      <c r="D64" s="2" t="s">
        <v>34</v>
      </c>
      <c r="E64" s="2" t="s">
        <v>51</v>
      </c>
      <c r="F64" s="2" t="s">
        <v>21</v>
      </c>
      <c r="G64" s="2">
        <v>4</v>
      </c>
      <c r="H64" s="4">
        <v>801.68</v>
      </c>
      <c r="I64" s="5">
        <v>20</v>
      </c>
      <c r="J64" s="4">
        <f t="shared" si="1"/>
        <v>2565.3760000000002</v>
      </c>
      <c r="K64" s="2" t="s">
        <v>26</v>
      </c>
    </row>
    <row r="65" spans="1:11" x14ac:dyDescent="0.35">
      <c r="A65" s="6" t="s">
        <v>105</v>
      </c>
      <c r="B65" s="7">
        <v>45361</v>
      </c>
      <c r="C65" s="6" t="s">
        <v>62</v>
      </c>
      <c r="D65" s="6" t="s">
        <v>24</v>
      </c>
      <c r="E65" s="6" t="s">
        <v>31</v>
      </c>
      <c r="F65" s="6" t="s">
        <v>29</v>
      </c>
      <c r="G65" s="6">
        <v>2</v>
      </c>
      <c r="H65" s="8">
        <v>1325.53</v>
      </c>
      <c r="I65" s="9">
        <v>20</v>
      </c>
      <c r="J65" s="8">
        <f t="shared" si="1"/>
        <v>2120.848</v>
      </c>
      <c r="K65" s="6" t="s">
        <v>26</v>
      </c>
    </row>
    <row r="66" spans="1:11" x14ac:dyDescent="0.35">
      <c r="A66" s="2" t="s">
        <v>106</v>
      </c>
      <c r="B66" s="3">
        <v>45573</v>
      </c>
      <c r="C66" s="2" t="s">
        <v>23</v>
      </c>
      <c r="D66" s="2" t="s">
        <v>42</v>
      </c>
      <c r="E66" s="2" t="s">
        <v>20</v>
      </c>
      <c r="F66" s="2" t="s">
        <v>21</v>
      </c>
      <c r="G66" s="2">
        <v>1</v>
      </c>
      <c r="H66" s="4">
        <v>3075.87</v>
      </c>
      <c r="I66" s="5">
        <v>5</v>
      </c>
      <c r="J66" s="4">
        <f t="shared" ref="J66:J97" si="2">G66*H66*(1-I66/100)</f>
        <v>2922.0764999999997</v>
      </c>
      <c r="K66" s="2" t="s">
        <v>16</v>
      </c>
    </row>
    <row r="67" spans="1:11" x14ac:dyDescent="0.35">
      <c r="A67" s="6" t="s">
        <v>107</v>
      </c>
      <c r="B67" s="7">
        <v>45366</v>
      </c>
      <c r="C67" s="6" t="s">
        <v>18</v>
      </c>
      <c r="D67" s="6" t="s">
        <v>24</v>
      </c>
      <c r="E67" s="6" t="s">
        <v>14</v>
      </c>
      <c r="F67" s="6" t="s">
        <v>15</v>
      </c>
      <c r="G67" s="6">
        <v>12</v>
      </c>
      <c r="H67" s="8">
        <v>311.49</v>
      </c>
      <c r="I67" s="9">
        <v>5</v>
      </c>
      <c r="J67" s="8">
        <f t="shared" si="2"/>
        <v>3550.9859999999999</v>
      </c>
      <c r="K67" s="6" t="s">
        <v>46</v>
      </c>
    </row>
    <row r="68" spans="1:11" x14ac:dyDescent="0.35">
      <c r="A68" s="2" t="s">
        <v>108</v>
      </c>
      <c r="B68" s="3">
        <v>45509</v>
      </c>
      <c r="C68" s="2" t="s">
        <v>12</v>
      </c>
      <c r="D68" s="2" t="s">
        <v>19</v>
      </c>
      <c r="E68" s="2" t="s">
        <v>35</v>
      </c>
      <c r="F68" s="2" t="s">
        <v>21</v>
      </c>
      <c r="G68" s="2">
        <v>13</v>
      </c>
      <c r="H68" s="4">
        <v>955.97</v>
      </c>
      <c r="I68" s="5">
        <v>0</v>
      </c>
      <c r="J68" s="4">
        <f t="shared" si="2"/>
        <v>12427.61</v>
      </c>
      <c r="K68" s="2" t="s">
        <v>16</v>
      </c>
    </row>
    <row r="69" spans="1:11" x14ac:dyDescent="0.35">
      <c r="A69" s="6" t="s">
        <v>109</v>
      </c>
      <c r="B69" s="7">
        <v>45718</v>
      </c>
      <c r="C69" s="6" t="s">
        <v>62</v>
      </c>
      <c r="D69" s="6" t="s">
        <v>42</v>
      </c>
      <c r="E69" s="6" t="s">
        <v>35</v>
      </c>
      <c r="F69" s="6" t="s">
        <v>21</v>
      </c>
      <c r="G69" s="6">
        <v>8</v>
      </c>
      <c r="H69" s="8">
        <v>886.67</v>
      </c>
      <c r="I69" s="9">
        <v>5</v>
      </c>
      <c r="J69" s="8">
        <f t="shared" si="2"/>
        <v>6738.6919999999991</v>
      </c>
      <c r="K69" s="6" t="s">
        <v>16</v>
      </c>
    </row>
    <row r="70" spans="1:11" x14ac:dyDescent="0.35">
      <c r="A70" s="2" t="s">
        <v>110</v>
      </c>
      <c r="B70" s="3">
        <v>45828</v>
      </c>
      <c r="C70" s="2" t="s">
        <v>45</v>
      </c>
      <c r="D70" s="2" t="s">
        <v>34</v>
      </c>
      <c r="E70" s="2" t="s">
        <v>66</v>
      </c>
      <c r="F70" s="2" t="s">
        <v>57</v>
      </c>
      <c r="G70" s="2">
        <v>14</v>
      </c>
      <c r="H70" s="4">
        <v>453.52</v>
      </c>
      <c r="I70" s="5">
        <v>10</v>
      </c>
      <c r="J70" s="4">
        <f t="shared" si="2"/>
        <v>5714.3519999999999</v>
      </c>
      <c r="K70" s="2" t="s">
        <v>46</v>
      </c>
    </row>
    <row r="71" spans="1:11" x14ac:dyDescent="0.35">
      <c r="A71" s="6" t="s">
        <v>111</v>
      </c>
      <c r="B71" s="7">
        <v>45823</v>
      </c>
      <c r="C71" s="6" t="s">
        <v>23</v>
      </c>
      <c r="D71" s="6" t="s">
        <v>34</v>
      </c>
      <c r="E71" s="6" t="s">
        <v>64</v>
      </c>
      <c r="F71" s="6" t="s">
        <v>15</v>
      </c>
      <c r="G71" s="6">
        <v>5</v>
      </c>
      <c r="H71" s="8">
        <v>369.9</v>
      </c>
      <c r="I71" s="9">
        <v>20</v>
      </c>
      <c r="J71" s="8">
        <f t="shared" si="2"/>
        <v>1479.6000000000001</v>
      </c>
      <c r="K71" s="6" t="s">
        <v>26</v>
      </c>
    </row>
    <row r="72" spans="1:11" x14ac:dyDescent="0.35">
      <c r="A72" s="2" t="s">
        <v>112</v>
      </c>
      <c r="B72" s="3">
        <v>45793</v>
      </c>
      <c r="C72" s="2" t="s">
        <v>12</v>
      </c>
      <c r="D72" s="2" t="s">
        <v>42</v>
      </c>
      <c r="E72" s="2" t="s">
        <v>28</v>
      </c>
      <c r="F72" s="2" t="s">
        <v>29</v>
      </c>
      <c r="G72" s="2">
        <v>8</v>
      </c>
      <c r="H72" s="4">
        <v>1654.87</v>
      </c>
      <c r="I72" s="5">
        <v>0</v>
      </c>
      <c r="J72" s="4">
        <f t="shared" si="2"/>
        <v>13238.96</v>
      </c>
      <c r="K72" s="2" t="s">
        <v>26</v>
      </c>
    </row>
    <row r="73" spans="1:11" x14ac:dyDescent="0.35">
      <c r="A73" s="6" t="s">
        <v>113</v>
      </c>
      <c r="B73" s="7">
        <v>45546</v>
      </c>
      <c r="C73" s="6" t="s">
        <v>45</v>
      </c>
      <c r="D73" s="6" t="s">
        <v>24</v>
      </c>
      <c r="E73" s="6" t="s">
        <v>35</v>
      </c>
      <c r="F73" s="6" t="s">
        <v>21</v>
      </c>
      <c r="G73" s="6">
        <v>3</v>
      </c>
      <c r="H73" s="8">
        <v>890.82</v>
      </c>
      <c r="I73" s="9">
        <v>5</v>
      </c>
      <c r="J73" s="8">
        <f t="shared" si="2"/>
        <v>2538.837</v>
      </c>
      <c r="K73" s="6" t="s">
        <v>26</v>
      </c>
    </row>
    <row r="74" spans="1:11" x14ac:dyDescent="0.35">
      <c r="A74" s="2" t="s">
        <v>114</v>
      </c>
      <c r="B74" s="3">
        <v>45476</v>
      </c>
      <c r="C74" s="2" t="s">
        <v>18</v>
      </c>
      <c r="D74" s="2" t="s">
        <v>34</v>
      </c>
      <c r="E74" s="2" t="s">
        <v>31</v>
      </c>
      <c r="F74" s="2" t="s">
        <v>29</v>
      </c>
      <c r="G74" s="2">
        <v>9</v>
      </c>
      <c r="H74" s="4">
        <v>1219.78</v>
      </c>
      <c r="I74" s="5">
        <v>0</v>
      </c>
      <c r="J74" s="4">
        <f t="shared" si="2"/>
        <v>10978.02</v>
      </c>
      <c r="K74" s="2" t="s">
        <v>26</v>
      </c>
    </row>
    <row r="75" spans="1:11" x14ac:dyDescent="0.35">
      <c r="A75" s="6" t="s">
        <v>115</v>
      </c>
      <c r="B75" s="7">
        <v>45701</v>
      </c>
      <c r="C75" s="6" t="s">
        <v>62</v>
      </c>
      <c r="D75" s="6" t="s">
        <v>19</v>
      </c>
      <c r="E75" s="6" t="s">
        <v>66</v>
      </c>
      <c r="F75" s="6" t="s">
        <v>57</v>
      </c>
      <c r="G75" s="6">
        <v>7</v>
      </c>
      <c r="H75" s="8">
        <v>428.08</v>
      </c>
      <c r="I75" s="9">
        <v>0</v>
      </c>
      <c r="J75" s="8">
        <f t="shared" si="2"/>
        <v>2996.56</v>
      </c>
      <c r="K75" s="6" t="s">
        <v>26</v>
      </c>
    </row>
    <row r="76" spans="1:11" x14ac:dyDescent="0.35">
      <c r="A76" s="2" t="s">
        <v>116</v>
      </c>
      <c r="B76" s="3">
        <v>45685</v>
      </c>
      <c r="C76" s="2" t="s">
        <v>18</v>
      </c>
      <c r="D76" s="2" t="s">
        <v>24</v>
      </c>
      <c r="E76" s="2" t="s">
        <v>39</v>
      </c>
      <c r="F76" s="2" t="s">
        <v>40</v>
      </c>
      <c r="G76" s="2">
        <v>12</v>
      </c>
      <c r="H76" s="4">
        <v>46.64</v>
      </c>
      <c r="I76" s="5">
        <v>10</v>
      </c>
      <c r="J76" s="4">
        <f t="shared" si="2"/>
        <v>503.71200000000005</v>
      </c>
      <c r="K76" s="2" t="s">
        <v>26</v>
      </c>
    </row>
    <row r="77" spans="1:11" x14ac:dyDescent="0.35">
      <c r="A77" s="6" t="s">
        <v>117</v>
      </c>
      <c r="B77" s="7">
        <v>45755</v>
      </c>
      <c r="C77" s="6" t="s">
        <v>45</v>
      </c>
      <c r="D77" s="6" t="s">
        <v>34</v>
      </c>
      <c r="E77" s="6" t="s">
        <v>64</v>
      </c>
      <c r="F77" s="6" t="s">
        <v>15</v>
      </c>
      <c r="G77" s="6">
        <v>1</v>
      </c>
      <c r="H77" s="8">
        <v>339.05</v>
      </c>
      <c r="I77" s="9">
        <v>15</v>
      </c>
      <c r="J77" s="8">
        <f t="shared" si="2"/>
        <v>288.1925</v>
      </c>
      <c r="K77" s="6" t="s">
        <v>46</v>
      </c>
    </row>
    <row r="78" spans="1:11" x14ac:dyDescent="0.35">
      <c r="A78" s="2" t="s">
        <v>118</v>
      </c>
      <c r="B78" s="3">
        <v>45470</v>
      </c>
      <c r="C78" s="2" t="s">
        <v>18</v>
      </c>
      <c r="D78" s="2" t="s">
        <v>42</v>
      </c>
      <c r="E78" s="2" t="s">
        <v>66</v>
      </c>
      <c r="F78" s="2" t="s">
        <v>57</v>
      </c>
      <c r="G78" s="2">
        <v>9</v>
      </c>
      <c r="H78" s="4">
        <v>380.83</v>
      </c>
      <c r="I78" s="5">
        <v>5</v>
      </c>
      <c r="J78" s="4">
        <f t="shared" si="2"/>
        <v>3256.0964999999997</v>
      </c>
      <c r="K78" s="2" t="s">
        <v>16</v>
      </c>
    </row>
    <row r="79" spans="1:11" x14ac:dyDescent="0.35">
      <c r="A79" s="6" t="s">
        <v>119</v>
      </c>
      <c r="B79" s="7">
        <v>45294</v>
      </c>
      <c r="C79" s="6" t="s">
        <v>12</v>
      </c>
      <c r="D79" s="6" t="s">
        <v>34</v>
      </c>
      <c r="E79" s="6" t="s">
        <v>43</v>
      </c>
      <c r="F79" s="6" t="s">
        <v>15</v>
      </c>
      <c r="G79" s="6">
        <v>14</v>
      </c>
      <c r="H79" s="8">
        <v>385.86</v>
      </c>
      <c r="I79" s="9">
        <v>0</v>
      </c>
      <c r="J79" s="8">
        <f t="shared" si="2"/>
        <v>5402.04</v>
      </c>
      <c r="K79" s="6" t="s">
        <v>26</v>
      </c>
    </row>
    <row r="80" spans="1:11" x14ac:dyDescent="0.35">
      <c r="A80" s="2" t="s">
        <v>120</v>
      </c>
      <c r="B80" s="3">
        <v>45668</v>
      </c>
      <c r="C80" s="2" t="s">
        <v>23</v>
      </c>
      <c r="D80" s="2" t="s">
        <v>34</v>
      </c>
      <c r="E80" s="2" t="s">
        <v>31</v>
      </c>
      <c r="F80" s="2" t="s">
        <v>29</v>
      </c>
      <c r="G80" s="2">
        <v>6</v>
      </c>
      <c r="H80" s="4">
        <v>1308.3699999999999</v>
      </c>
      <c r="I80" s="5">
        <v>5</v>
      </c>
      <c r="J80" s="4">
        <f t="shared" si="2"/>
        <v>7457.7089999999989</v>
      </c>
      <c r="K80" s="2" t="s">
        <v>26</v>
      </c>
    </row>
    <row r="81" spans="1:11" x14ac:dyDescent="0.35">
      <c r="A81" s="6" t="s">
        <v>121</v>
      </c>
      <c r="B81" s="7">
        <v>45697</v>
      </c>
      <c r="C81" s="6" t="s">
        <v>33</v>
      </c>
      <c r="D81" s="6" t="s">
        <v>34</v>
      </c>
      <c r="E81" s="6" t="s">
        <v>20</v>
      </c>
      <c r="F81" s="6" t="s">
        <v>21</v>
      </c>
      <c r="G81" s="6">
        <v>12</v>
      </c>
      <c r="H81" s="8">
        <v>3311.54</v>
      </c>
      <c r="I81" s="9">
        <v>0</v>
      </c>
      <c r="J81" s="8">
        <f t="shared" si="2"/>
        <v>39738.479999999996</v>
      </c>
      <c r="K81" s="6" t="s">
        <v>26</v>
      </c>
    </row>
    <row r="82" spans="1:11" x14ac:dyDescent="0.35">
      <c r="A82" s="2" t="s">
        <v>122</v>
      </c>
      <c r="B82" s="3">
        <v>45376</v>
      </c>
      <c r="C82" s="2" t="s">
        <v>12</v>
      </c>
      <c r="D82" s="2" t="s">
        <v>19</v>
      </c>
      <c r="E82" s="2" t="s">
        <v>20</v>
      </c>
      <c r="F82" s="2" t="s">
        <v>21</v>
      </c>
      <c r="G82" s="2">
        <v>4</v>
      </c>
      <c r="H82" s="4">
        <v>3039.49</v>
      </c>
      <c r="I82" s="5">
        <v>0</v>
      </c>
      <c r="J82" s="4">
        <f t="shared" si="2"/>
        <v>12157.96</v>
      </c>
      <c r="K82" s="2" t="s">
        <v>16</v>
      </c>
    </row>
    <row r="83" spans="1:11" x14ac:dyDescent="0.35">
      <c r="A83" s="6" t="s">
        <v>123</v>
      </c>
      <c r="B83" s="7">
        <v>45420</v>
      </c>
      <c r="C83" s="6" t="s">
        <v>23</v>
      </c>
      <c r="D83" s="6" t="s">
        <v>34</v>
      </c>
      <c r="E83" s="6" t="s">
        <v>51</v>
      </c>
      <c r="F83" s="6" t="s">
        <v>21</v>
      </c>
      <c r="G83" s="6">
        <v>2</v>
      </c>
      <c r="H83" s="8">
        <v>811.97</v>
      </c>
      <c r="I83" s="9">
        <v>0</v>
      </c>
      <c r="J83" s="8">
        <f t="shared" si="2"/>
        <v>1623.94</v>
      </c>
      <c r="K83" s="6" t="s">
        <v>46</v>
      </c>
    </row>
    <row r="84" spans="1:11" x14ac:dyDescent="0.35">
      <c r="A84" s="2" t="s">
        <v>124</v>
      </c>
      <c r="B84" s="3">
        <v>45560</v>
      </c>
      <c r="C84" s="2" t="s">
        <v>45</v>
      </c>
      <c r="D84" s="2" t="s">
        <v>42</v>
      </c>
      <c r="E84" s="2" t="s">
        <v>66</v>
      </c>
      <c r="F84" s="2" t="s">
        <v>57</v>
      </c>
      <c r="G84" s="2">
        <v>10</v>
      </c>
      <c r="H84" s="4">
        <v>479.19</v>
      </c>
      <c r="I84" s="5">
        <v>15</v>
      </c>
      <c r="J84" s="4">
        <f t="shared" si="2"/>
        <v>4073.1149999999998</v>
      </c>
      <c r="K84" s="2" t="s">
        <v>26</v>
      </c>
    </row>
    <row r="85" spans="1:11" x14ac:dyDescent="0.35">
      <c r="A85" s="6" t="s">
        <v>125</v>
      </c>
      <c r="B85" s="7">
        <v>45453</v>
      </c>
      <c r="C85" s="6" t="s">
        <v>33</v>
      </c>
      <c r="D85" s="6" t="s">
        <v>24</v>
      </c>
      <c r="E85" s="6" t="s">
        <v>20</v>
      </c>
      <c r="F85" s="6" t="s">
        <v>21</v>
      </c>
      <c r="G85" s="6">
        <v>15</v>
      </c>
      <c r="H85" s="8">
        <v>3129.57</v>
      </c>
      <c r="I85" s="9">
        <v>15</v>
      </c>
      <c r="J85" s="8">
        <f t="shared" si="2"/>
        <v>39902.017500000002</v>
      </c>
      <c r="K85" s="6" t="s">
        <v>46</v>
      </c>
    </row>
    <row r="86" spans="1:11" x14ac:dyDescent="0.35">
      <c r="A86" s="2" t="s">
        <v>126</v>
      </c>
      <c r="B86" s="3">
        <v>45680</v>
      </c>
      <c r="C86" s="2" t="s">
        <v>23</v>
      </c>
      <c r="D86" s="2" t="s">
        <v>19</v>
      </c>
      <c r="E86" s="2" t="s">
        <v>66</v>
      </c>
      <c r="F86" s="2" t="s">
        <v>57</v>
      </c>
      <c r="G86" s="2">
        <v>12</v>
      </c>
      <c r="H86" s="4">
        <v>465.21</v>
      </c>
      <c r="I86" s="5">
        <v>0</v>
      </c>
      <c r="J86" s="4">
        <f t="shared" si="2"/>
        <v>5582.5199999999995</v>
      </c>
      <c r="K86" s="2" t="s">
        <v>26</v>
      </c>
    </row>
    <row r="87" spans="1:11" x14ac:dyDescent="0.35">
      <c r="A87" s="6" t="s">
        <v>127</v>
      </c>
      <c r="B87" s="7">
        <v>45593</v>
      </c>
      <c r="C87" s="6" t="s">
        <v>12</v>
      </c>
      <c r="D87" s="6" t="s">
        <v>24</v>
      </c>
      <c r="E87" s="6" t="s">
        <v>35</v>
      </c>
      <c r="F87" s="6" t="s">
        <v>21</v>
      </c>
      <c r="G87" s="6">
        <v>13</v>
      </c>
      <c r="H87" s="8">
        <v>1088.6600000000001</v>
      </c>
      <c r="I87" s="9">
        <v>20</v>
      </c>
      <c r="J87" s="8">
        <f t="shared" si="2"/>
        <v>11322.064000000002</v>
      </c>
      <c r="K87" s="6" t="s">
        <v>26</v>
      </c>
    </row>
    <row r="88" spans="1:11" x14ac:dyDescent="0.35">
      <c r="A88" s="2" t="s">
        <v>128</v>
      </c>
      <c r="B88" s="3">
        <v>45644</v>
      </c>
      <c r="C88" s="2" t="s">
        <v>18</v>
      </c>
      <c r="D88" s="2" t="s">
        <v>13</v>
      </c>
      <c r="E88" s="2" t="s">
        <v>35</v>
      </c>
      <c r="F88" s="2" t="s">
        <v>21</v>
      </c>
      <c r="G88" s="2">
        <v>9</v>
      </c>
      <c r="H88" s="4">
        <v>1008.79</v>
      </c>
      <c r="I88" s="5">
        <v>0</v>
      </c>
      <c r="J88" s="4">
        <f t="shared" si="2"/>
        <v>9079.11</v>
      </c>
      <c r="K88" s="2" t="s">
        <v>46</v>
      </c>
    </row>
    <row r="89" spans="1:11" x14ac:dyDescent="0.35">
      <c r="A89" s="6" t="s">
        <v>129</v>
      </c>
      <c r="B89" s="7">
        <v>45751</v>
      </c>
      <c r="C89" s="6" t="s">
        <v>18</v>
      </c>
      <c r="D89" s="6" t="s">
        <v>13</v>
      </c>
      <c r="E89" s="6" t="s">
        <v>51</v>
      </c>
      <c r="F89" s="6" t="s">
        <v>21</v>
      </c>
      <c r="G89" s="6">
        <v>15</v>
      </c>
      <c r="H89" s="8">
        <v>863.6</v>
      </c>
      <c r="I89" s="9">
        <v>15</v>
      </c>
      <c r="J89" s="8">
        <f t="shared" si="2"/>
        <v>11010.9</v>
      </c>
      <c r="K89" s="6" t="s">
        <v>26</v>
      </c>
    </row>
    <row r="90" spans="1:11" x14ac:dyDescent="0.35">
      <c r="A90" s="2" t="s">
        <v>130</v>
      </c>
      <c r="B90" s="3">
        <v>45694</v>
      </c>
      <c r="C90" s="2" t="s">
        <v>12</v>
      </c>
      <c r="D90" s="2" t="s">
        <v>24</v>
      </c>
      <c r="E90" s="2" t="s">
        <v>51</v>
      </c>
      <c r="F90" s="2" t="s">
        <v>21</v>
      </c>
      <c r="G90" s="2">
        <v>5</v>
      </c>
      <c r="H90" s="4">
        <v>822.1</v>
      </c>
      <c r="I90" s="5">
        <v>10</v>
      </c>
      <c r="J90" s="4">
        <f t="shared" si="2"/>
        <v>3699.4500000000003</v>
      </c>
      <c r="K90" s="2" t="s">
        <v>46</v>
      </c>
    </row>
    <row r="91" spans="1:11" x14ac:dyDescent="0.35">
      <c r="A91" s="6" t="s">
        <v>131</v>
      </c>
      <c r="B91" s="7">
        <v>45730</v>
      </c>
      <c r="C91" s="6" t="s">
        <v>12</v>
      </c>
      <c r="D91" s="6" t="s">
        <v>24</v>
      </c>
      <c r="E91" s="6" t="s">
        <v>28</v>
      </c>
      <c r="F91" s="6" t="s">
        <v>29</v>
      </c>
      <c r="G91" s="6">
        <v>6</v>
      </c>
      <c r="H91" s="8">
        <v>2003.27</v>
      </c>
      <c r="I91" s="9">
        <v>20</v>
      </c>
      <c r="J91" s="8">
        <f t="shared" si="2"/>
        <v>9615.6959999999999</v>
      </c>
      <c r="K91" s="6" t="s">
        <v>26</v>
      </c>
    </row>
    <row r="92" spans="1:11" x14ac:dyDescent="0.35">
      <c r="A92" s="2" t="s">
        <v>132</v>
      </c>
      <c r="B92" s="3">
        <v>45550</v>
      </c>
      <c r="C92" s="2" t="s">
        <v>23</v>
      </c>
      <c r="D92" s="2" t="s">
        <v>34</v>
      </c>
      <c r="E92" s="2" t="s">
        <v>66</v>
      </c>
      <c r="F92" s="2" t="s">
        <v>57</v>
      </c>
      <c r="G92" s="2">
        <v>10</v>
      </c>
      <c r="H92" s="4">
        <v>448.16</v>
      </c>
      <c r="I92" s="5">
        <v>0</v>
      </c>
      <c r="J92" s="4">
        <f t="shared" si="2"/>
        <v>4481.6000000000004</v>
      </c>
      <c r="K92" s="2" t="s">
        <v>26</v>
      </c>
    </row>
    <row r="93" spans="1:11" x14ac:dyDescent="0.35">
      <c r="A93" s="6" t="s">
        <v>133</v>
      </c>
      <c r="B93" s="7">
        <v>45775</v>
      </c>
      <c r="C93" s="6" t="s">
        <v>45</v>
      </c>
      <c r="D93" s="6" t="s">
        <v>42</v>
      </c>
      <c r="E93" s="6" t="s">
        <v>64</v>
      </c>
      <c r="F93" s="6" t="s">
        <v>15</v>
      </c>
      <c r="G93" s="6">
        <v>4</v>
      </c>
      <c r="H93" s="8">
        <v>336.16</v>
      </c>
      <c r="I93" s="9">
        <v>0</v>
      </c>
      <c r="J93" s="8">
        <f t="shared" si="2"/>
        <v>1344.64</v>
      </c>
      <c r="K93" s="6" t="s">
        <v>26</v>
      </c>
    </row>
    <row r="94" spans="1:11" x14ac:dyDescent="0.35">
      <c r="A94" s="2" t="s">
        <v>134</v>
      </c>
      <c r="B94" s="3">
        <v>45555</v>
      </c>
      <c r="C94" s="2" t="s">
        <v>12</v>
      </c>
      <c r="D94" s="2" t="s">
        <v>13</v>
      </c>
      <c r="E94" s="2" t="s">
        <v>56</v>
      </c>
      <c r="F94" s="2" t="s">
        <v>57</v>
      </c>
      <c r="G94" s="2">
        <v>1</v>
      </c>
      <c r="H94" s="4">
        <v>319.04000000000002</v>
      </c>
      <c r="I94" s="5">
        <v>0</v>
      </c>
      <c r="J94" s="4">
        <f t="shared" si="2"/>
        <v>319.04000000000002</v>
      </c>
      <c r="K94" s="2" t="s">
        <v>26</v>
      </c>
    </row>
    <row r="95" spans="1:11" x14ac:dyDescent="0.35">
      <c r="A95" s="6" t="s">
        <v>135</v>
      </c>
      <c r="B95" s="7">
        <v>45528</v>
      </c>
      <c r="C95" s="6" t="s">
        <v>18</v>
      </c>
      <c r="D95" s="6" t="s">
        <v>34</v>
      </c>
      <c r="E95" s="6" t="s">
        <v>56</v>
      </c>
      <c r="F95" s="6" t="s">
        <v>57</v>
      </c>
      <c r="G95" s="6">
        <v>13</v>
      </c>
      <c r="H95" s="8">
        <v>297.63</v>
      </c>
      <c r="I95" s="9">
        <v>5</v>
      </c>
      <c r="J95" s="8">
        <f t="shared" si="2"/>
        <v>3675.7304999999997</v>
      </c>
      <c r="K95" s="6" t="s">
        <v>46</v>
      </c>
    </row>
    <row r="96" spans="1:11" x14ac:dyDescent="0.35">
      <c r="A96" s="2" t="s">
        <v>136</v>
      </c>
      <c r="B96" s="3">
        <v>45742</v>
      </c>
      <c r="C96" s="2" t="s">
        <v>33</v>
      </c>
      <c r="D96" s="2" t="s">
        <v>19</v>
      </c>
      <c r="E96" s="2" t="s">
        <v>28</v>
      </c>
      <c r="F96" s="2" t="s">
        <v>29</v>
      </c>
      <c r="G96" s="2">
        <v>4</v>
      </c>
      <c r="H96" s="4">
        <v>1801.98</v>
      </c>
      <c r="I96" s="5">
        <v>0</v>
      </c>
      <c r="J96" s="4">
        <f t="shared" si="2"/>
        <v>7207.92</v>
      </c>
      <c r="K96" s="2" t="s">
        <v>26</v>
      </c>
    </row>
    <row r="97" spans="1:11" x14ac:dyDescent="0.35">
      <c r="A97" s="6" t="s">
        <v>137</v>
      </c>
      <c r="B97" s="7">
        <v>45642</v>
      </c>
      <c r="C97" s="6" t="s">
        <v>62</v>
      </c>
      <c r="D97" s="6" t="s">
        <v>24</v>
      </c>
      <c r="E97" s="6" t="s">
        <v>31</v>
      </c>
      <c r="F97" s="6" t="s">
        <v>29</v>
      </c>
      <c r="G97" s="6">
        <v>7</v>
      </c>
      <c r="H97" s="8">
        <v>1378.99</v>
      </c>
      <c r="I97" s="9">
        <v>10</v>
      </c>
      <c r="J97" s="8">
        <f t="shared" si="2"/>
        <v>8687.6370000000006</v>
      </c>
      <c r="K97" s="6" t="s">
        <v>26</v>
      </c>
    </row>
    <row r="98" spans="1:11" x14ac:dyDescent="0.35">
      <c r="A98" s="2" t="s">
        <v>138</v>
      </c>
      <c r="B98" s="3">
        <v>45649</v>
      </c>
      <c r="C98" s="2" t="s">
        <v>18</v>
      </c>
      <c r="D98" s="2" t="s">
        <v>13</v>
      </c>
      <c r="E98" s="2" t="s">
        <v>28</v>
      </c>
      <c r="F98" s="2" t="s">
        <v>29</v>
      </c>
      <c r="G98" s="2">
        <v>5</v>
      </c>
      <c r="H98" s="4">
        <v>1723.74</v>
      </c>
      <c r="I98" s="5">
        <v>15</v>
      </c>
      <c r="J98" s="4">
        <f t="shared" ref="J98:J129" si="3">G98*H98*(1-I98/100)</f>
        <v>7325.8950000000004</v>
      </c>
      <c r="K98" s="2" t="s">
        <v>26</v>
      </c>
    </row>
    <row r="99" spans="1:11" x14ac:dyDescent="0.35">
      <c r="A99" s="6" t="s">
        <v>139</v>
      </c>
      <c r="B99" s="7">
        <v>45600</v>
      </c>
      <c r="C99" s="6" t="s">
        <v>12</v>
      </c>
      <c r="D99" s="6" t="s">
        <v>24</v>
      </c>
      <c r="E99" s="6" t="s">
        <v>39</v>
      </c>
      <c r="F99" s="6" t="s">
        <v>40</v>
      </c>
      <c r="G99" s="6">
        <v>3</v>
      </c>
      <c r="H99" s="8">
        <v>42.65</v>
      </c>
      <c r="I99" s="9">
        <v>15</v>
      </c>
      <c r="J99" s="8">
        <f t="shared" si="3"/>
        <v>108.75749999999999</v>
      </c>
      <c r="K99" s="6" t="s">
        <v>46</v>
      </c>
    </row>
    <row r="100" spans="1:11" x14ac:dyDescent="0.35">
      <c r="A100" s="2" t="s">
        <v>140</v>
      </c>
      <c r="B100" s="3">
        <v>45559</v>
      </c>
      <c r="C100" s="2" t="s">
        <v>62</v>
      </c>
      <c r="D100" s="2" t="s">
        <v>24</v>
      </c>
      <c r="E100" s="2" t="s">
        <v>66</v>
      </c>
      <c r="F100" s="2" t="s">
        <v>57</v>
      </c>
      <c r="G100" s="2">
        <v>5</v>
      </c>
      <c r="H100" s="4">
        <v>480.95</v>
      </c>
      <c r="I100" s="5">
        <v>20</v>
      </c>
      <c r="J100" s="4">
        <f t="shared" si="3"/>
        <v>1923.8000000000002</v>
      </c>
      <c r="K100" s="2" t="s">
        <v>26</v>
      </c>
    </row>
    <row r="101" spans="1:11" x14ac:dyDescent="0.35">
      <c r="A101" s="6" t="s">
        <v>141</v>
      </c>
      <c r="B101" s="7">
        <v>45573</v>
      </c>
      <c r="C101" s="6" t="s">
        <v>45</v>
      </c>
      <c r="D101" s="6" t="s">
        <v>42</v>
      </c>
      <c r="E101" s="6" t="s">
        <v>28</v>
      </c>
      <c r="F101" s="6" t="s">
        <v>29</v>
      </c>
      <c r="G101" s="6">
        <v>1</v>
      </c>
      <c r="H101" s="8">
        <v>1938.61</v>
      </c>
      <c r="I101" s="9">
        <v>0</v>
      </c>
      <c r="J101" s="8">
        <f t="shared" si="3"/>
        <v>1938.61</v>
      </c>
      <c r="K101" s="6" t="s">
        <v>26</v>
      </c>
    </row>
    <row r="102" spans="1:11" x14ac:dyDescent="0.35">
      <c r="A102" s="2" t="s">
        <v>142</v>
      </c>
      <c r="B102" s="3">
        <v>45324</v>
      </c>
      <c r="C102" s="2" t="s">
        <v>62</v>
      </c>
      <c r="D102" s="2" t="s">
        <v>13</v>
      </c>
      <c r="E102" s="2" t="s">
        <v>39</v>
      </c>
      <c r="F102" s="2" t="s">
        <v>40</v>
      </c>
      <c r="G102" s="2">
        <v>3</v>
      </c>
      <c r="H102" s="4">
        <v>47.68</v>
      </c>
      <c r="I102" s="5">
        <v>20</v>
      </c>
      <c r="J102" s="4">
        <f t="shared" si="3"/>
        <v>114.432</v>
      </c>
      <c r="K102" s="2" t="s">
        <v>46</v>
      </c>
    </row>
    <row r="103" spans="1:11" x14ac:dyDescent="0.35">
      <c r="A103" s="6" t="s">
        <v>143</v>
      </c>
      <c r="B103" s="7">
        <v>45410</v>
      </c>
      <c r="C103" s="6" t="s">
        <v>33</v>
      </c>
      <c r="D103" s="6" t="s">
        <v>24</v>
      </c>
      <c r="E103" s="6" t="s">
        <v>28</v>
      </c>
      <c r="F103" s="6" t="s">
        <v>29</v>
      </c>
      <c r="G103" s="6">
        <v>8</v>
      </c>
      <c r="H103" s="8">
        <v>1835.42</v>
      </c>
      <c r="I103" s="9">
        <v>0</v>
      </c>
      <c r="J103" s="8">
        <f t="shared" si="3"/>
        <v>14683.36</v>
      </c>
      <c r="K103" s="6" t="s">
        <v>26</v>
      </c>
    </row>
    <row r="104" spans="1:11" x14ac:dyDescent="0.35">
      <c r="A104" s="2" t="s">
        <v>144</v>
      </c>
      <c r="B104" s="3">
        <v>45331</v>
      </c>
      <c r="C104" s="2" t="s">
        <v>18</v>
      </c>
      <c r="D104" s="2" t="s">
        <v>19</v>
      </c>
      <c r="E104" s="2" t="s">
        <v>35</v>
      </c>
      <c r="F104" s="2" t="s">
        <v>21</v>
      </c>
      <c r="G104" s="2">
        <v>7</v>
      </c>
      <c r="H104" s="4">
        <v>971.79</v>
      </c>
      <c r="I104" s="5">
        <v>10</v>
      </c>
      <c r="J104" s="4">
        <f t="shared" si="3"/>
        <v>6122.277</v>
      </c>
      <c r="K104" s="2" t="s">
        <v>26</v>
      </c>
    </row>
    <row r="105" spans="1:11" x14ac:dyDescent="0.35">
      <c r="A105" s="6" t="s">
        <v>145</v>
      </c>
      <c r="B105" s="7">
        <v>45417</v>
      </c>
      <c r="C105" s="6" t="s">
        <v>62</v>
      </c>
      <c r="D105" s="6" t="s">
        <v>13</v>
      </c>
      <c r="E105" s="6" t="s">
        <v>35</v>
      </c>
      <c r="F105" s="6" t="s">
        <v>21</v>
      </c>
      <c r="G105" s="6">
        <v>4</v>
      </c>
      <c r="H105" s="8">
        <v>883.13</v>
      </c>
      <c r="I105" s="9">
        <v>20</v>
      </c>
      <c r="J105" s="8">
        <f t="shared" si="3"/>
        <v>2826.0160000000001</v>
      </c>
      <c r="K105" s="6" t="s">
        <v>46</v>
      </c>
    </row>
    <row r="106" spans="1:11" x14ac:dyDescent="0.35">
      <c r="A106" s="2" t="s">
        <v>146</v>
      </c>
      <c r="B106" s="3">
        <v>45529</v>
      </c>
      <c r="C106" s="2" t="s">
        <v>62</v>
      </c>
      <c r="D106" s="2" t="s">
        <v>34</v>
      </c>
      <c r="E106" s="2" t="s">
        <v>64</v>
      </c>
      <c r="F106" s="2" t="s">
        <v>15</v>
      </c>
      <c r="G106" s="2">
        <v>15</v>
      </c>
      <c r="H106" s="4">
        <v>343.63</v>
      </c>
      <c r="I106" s="5">
        <v>20</v>
      </c>
      <c r="J106" s="4">
        <f t="shared" si="3"/>
        <v>4123.5600000000004</v>
      </c>
      <c r="K106" s="2" t="s">
        <v>16</v>
      </c>
    </row>
    <row r="107" spans="1:11" x14ac:dyDescent="0.35">
      <c r="A107" s="6" t="s">
        <v>147</v>
      </c>
      <c r="B107" s="7">
        <v>45698</v>
      </c>
      <c r="C107" s="6" t="s">
        <v>62</v>
      </c>
      <c r="D107" s="6" t="s">
        <v>24</v>
      </c>
      <c r="E107" s="6" t="s">
        <v>20</v>
      </c>
      <c r="F107" s="6" t="s">
        <v>21</v>
      </c>
      <c r="G107" s="6">
        <v>10</v>
      </c>
      <c r="H107" s="8">
        <v>3648.09</v>
      </c>
      <c r="I107" s="9">
        <v>0</v>
      </c>
      <c r="J107" s="8">
        <f t="shared" si="3"/>
        <v>36480.9</v>
      </c>
      <c r="K107" s="6" t="s">
        <v>26</v>
      </c>
    </row>
    <row r="108" spans="1:11" x14ac:dyDescent="0.35">
      <c r="A108" s="2" t="s">
        <v>148</v>
      </c>
      <c r="B108" s="3">
        <v>45482</v>
      </c>
      <c r="C108" s="2" t="s">
        <v>12</v>
      </c>
      <c r="D108" s="2" t="s">
        <v>19</v>
      </c>
      <c r="E108" s="2" t="s">
        <v>43</v>
      </c>
      <c r="F108" s="2" t="s">
        <v>15</v>
      </c>
      <c r="G108" s="2">
        <v>4</v>
      </c>
      <c r="H108" s="4">
        <v>358.51</v>
      </c>
      <c r="I108" s="5">
        <v>0</v>
      </c>
      <c r="J108" s="4">
        <f t="shared" si="3"/>
        <v>1434.04</v>
      </c>
      <c r="K108" s="2" t="s">
        <v>26</v>
      </c>
    </row>
    <row r="109" spans="1:11" x14ac:dyDescent="0.35">
      <c r="A109" s="6" t="s">
        <v>149</v>
      </c>
      <c r="B109" s="7">
        <v>45305</v>
      </c>
      <c r="C109" s="6" t="s">
        <v>18</v>
      </c>
      <c r="D109" s="6" t="s">
        <v>24</v>
      </c>
      <c r="E109" s="6" t="s">
        <v>64</v>
      </c>
      <c r="F109" s="6" t="s">
        <v>15</v>
      </c>
      <c r="G109" s="6">
        <v>5</v>
      </c>
      <c r="H109" s="8">
        <v>308.77</v>
      </c>
      <c r="I109" s="9">
        <v>0</v>
      </c>
      <c r="J109" s="8">
        <f t="shared" si="3"/>
        <v>1543.85</v>
      </c>
      <c r="K109" s="6" t="s">
        <v>26</v>
      </c>
    </row>
    <row r="110" spans="1:11" x14ac:dyDescent="0.35">
      <c r="A110" s="2" t="s">
        <v>150</v>
      </c>
      <c r="B110" s="3">
        <v>45719</v>
      </c>
      <c r="C110" s="2" t="s">
        <v>12</v>
      </c>
      <c r="D110" s="2" t="s">
        <v>42</v>
      </c>
      <c r="E110" s="2" t="s">
        <v>28</v>
      </c>
      <c r="F110" s="2" t="s">
        <v>29</v>
      </c>
      <c r="G110" s="2">
        <v>13</v>
      </c>
      <c r="H110" s="4">
        <v>1976.06</v>
      </c>
      <c r="I110" s="5">
        <v>10</v>
      </c>
      <c r="J110" s="4">
        <f t="shared" si="3"/>
        <v>23119.901999999998</v>
      </c>
      <c r="K110" s="2" t="s">
        <v>26</v>
      </c>
    </row>
    <row r="111" spans="1:11" x14ac:dyDescent="0.35">
      <c r="A111" s="6" t="s">
        <v>151</v>
      </c>
      <c r="B111" s="7">
        <v>45692</v>
      </c>
      <c r="C111" s="6" t="s">
        <v>62</v>
      </c>
      <c r="D111" s="6" t="s">
        <v>42</v>
      </c>
      <c r="E111" s="6" t="s">
        <v>51</v>
      </c>
      <c r="F111" s="6" t="s">
        <v>21</v>
      </c>
      <c r="G111" s="6">
        <v>3</v>
      </c>
      <c r="H111" s="8">
        <v>879.14</v>
      </c>
      <c r="I111" s="9">
        <v>20</v>
      </c>
      <c r="J111" s="8">
        <f t="shared" si="3"/>
        <v>2109.9360000000001</v>
      </c>
      <c r="K111" s="6" t="s">
        <v>26</v>
      </c>
    </row>
    <row r="112" spans="1:11" x14ac:dyDescent="0.35">
      <c r="A112" s="2" t="s">
        <v>152</v>
      </c>
      <c r="B112" s="3">
        <v>45353</v>
      </c>
      <c r="C112" s="2" t="s">
        <v>23</v>
      </c>
      <c r="D112" s="2" t="s">
        <v>13</v>
      </c>
      <c r="E112" s="2" t="s">
        <v>66</v>
      </c>
      <c r="F112" s="2" t="s">
        <v>57</v>
      </c>
      <c r="G112" s="2">
        <v>12</v>
      </c>
      <c r="H112" s="4">
        <v>464.55</v>
      </c>
      <c r="I112" s="5">
        <v>0</v>
      </c>
      <c r="J112" s="4">
        <f t="shared" si="3"/>
        <v>5574.6</v>
      </c>
      <c r="K112" s="2" t="s">
        <v>46</v>
      </c>
    </row>
    <row r="113" spans="1:11" x14ac:dyDescent="0.35">
      <c r="A113" s="6" t="s">
        <v>153</v>
      </c>
      <c r="B113" s="7">
        <v>45397</v>
      </c>
      <c r="C113" s="6" t="s">
        <v>12</v>
      </c>
      <c r="D113" s="6" t="s">
        <v>13</v>
      </c>
      <c r="E113" s="6" t="s">
        <v>39</v>
      </c>
      <c r="F113" s="6" t="s">
        <v>40</v>
      </c>
      <c r="G113" s="6">
        <v>7</v>
      </c>
      <c r="H113" s="8">
        <v>51.11</v>
      </c>
      <c r="I113" s="9">
        <v>10</v>
      </c>
      <c r="J113" s="8">
        <f t="shared" si="3"/>
        <v>321.99299999999999</v>
      </c>
      <c r="K113" s="6" t="s">
        <v>16</v>
      </c>
    </row>
    <row r="114" spans="1:11" x14ac:dyDescent="0.35">
      <c r="A114" s="2" t="s">
        <v>154</v>
      </c>
      <c r="B114" s="3">
        <v>45762</v>
      </c>
      <c r="C114" s="2" t="s">
        <v>33</v>
      </c>
      <c r="D114" s="2" t="s">
        <v>24</v>
      </c>
      <c r="E114" s="2" t="s">
        <v>20</v>
      </c>
      <c r="F114" s="2" t="s">
        <v>21</v>
      </c>
      <c r="G114" s="2">
        <v>15</v>
      </c>
      <c r="H114" s="4">
        <v>3225.62</v>
      </c>
      <c r="I114" s="5">
        <v>0</v>
      </c>
      <c r="J114" s="4">
        <f t="shared" si="3"/>
        <v>48384.299999999996</v>
      </c>
      <c r="K114" s="2" t="s">
        <v>16</v>
      </c>
    </row>
    <row r="115" spans="1:11" x14ac:dyDescent="0.35">
      <c r="A115" s="6" t="s">
        <v>155</v>
      </c>
      <c r="B115" s="7">
        <v>45536</v>
      </c>
      <c r="C115" s="6" t="s">
        <v>33</v>
      </c>
      <c r="D115" s="6" t="s">
        <v>42</v>
      </c>
      <c r="E115" s="6" t="s">
        <v>51</v>
      </c>
      <c r="F115" s="6" t="s">
        <v>21</v>
      </c>
      <c r="G115" s="6">
        <v>14</v>
      </c>
      <c r="H115" s="8">
        <v>869.8</v>
      </c>
      <c r="I115" s="9">
        <v>10</v>
      </c>
      <c r="J115" s="8">
        <f t="shared" si="3"/>
        <v>10959.48</v>
      </c>
      <c r="K115" s="6" t="s">
        <v>26</v>
      </c>
    </row>
    <row r="116" spans="1:11" x14ac:dyDescent="0.35">
      <c r="A116" s="2" t="s">
        <v>156</v>
      </c>
      <c r="B116" s="3">
        <v>45554</v>
      </c>
      <c r="C116" s="2" t="s">
        <v>33</v>
      </c>
      <c r="D116" s="2" t="s">
        <v>42</v>
      </c>
      <c r="E116" s="2" t="s">
        <v>64</v>
      </c>
      <c r="F116" s="2" t="s">
        <v>15</v>
      </c>
      <c r="G116" s="2">
        <v>9</v>
      </c>
      <c r="H116" s="4">
        <v>361.38</v>
      </c>
      <c r="I116" s="5">
        <v>0</v>
      </c>
      <c r="J116" s="4">
        <f t="shared" si="3"/>
        <v>3252.42</v>
      </c>
      <c r="K116" s="2" t="s">
        <v>26</v>
      </c>
    </row>
    <row r="117" spans="1:11" x14ac:dyDescent="0.35">
      <c r="A117" s="6" t="s">
        <v>157</v>
      </c>
      <c r="B117" s="7">
        <v>45709</v>
      </c>
      <c r="C117" s="6" t="s">
        <v>18</v>
      </c>
      <c r="D117" s="6" t="s">
        <v>19</v>
      </c>
      <c r="E117" s="6" t="s">
        <v>64</v>
      </c>
      <c r="F117" s="6" t="s">
        <v>15</v>
      </c>
      <c r="G117" s="6">
        <v>6</v>
      </c>
      <c r="H117" s="8">
        <v>340.71</v>
      </c>
      <c r="I117" s="9">
        <v>0</v>
      </c>
      <c r="J117" s="8">
        <f t="shared" si="3"/>
        <v>2044.2599999999998</v>
      </c>
      <c r="K117" s="6" t="s">
        <v>26</v>
      </c>
    </row>
    <row r="118" spans="1:11" x14ac:dyDescent="0.35">
      <c r="A118" s="2" t="s">
        <v>158</v>
      </c>
      <c r="B118" s="3">
        <v>45454</v>
      </c>
      <c r="C118" s="2" t="s">
        <v>18</v>
      </c>
      <c r="D118" s="2" t="s">
        <v>34</v>
      </c>
      <c r="E118" s="2" t="s">
        <v>28</v>
      </c>
      <c r="F118" s="2" t="s">
        <v>29</v>
      </c>
      <c r="G118" s="2">
        <v>11</v>
      </c>
      <c r="H118" s="4">
        <v>2045.34</v>
      </c>
      <c r="I118" s="5">
        <v>20</v>
      </c>
      <c r="J118" s="4">
        <f t="shared" si="3"/>
        <v>17998.991999999998</v>
      </c>
      <c r="K118" s="2" t="s">
        <v>16</v>
      </c>
    </row>
    <row r="119" spans="1:11" x14ac:dyDescent="0.35">
      <c r="A119" s="6" t="s">
        <v>159</v>
      </c>
      <c r="B119" s="7">
        <v>45337</v>
      </c>
      <c r="C119" s="6" t="s">
        <v>33</v>
      </c>
      <c r="D119" s="6" t="s">
        <v>13</v>
      </c>
      <c r="E119" s="6" t="s">
        <v>28</v>
      </c>
      <c r="F119" s="6" t="s">
        <v>29</v>
      </c>
      <c r="G119" s="6">
        <v>6</v>
      </c>
      <c r="H119" s="8">
        <v>1672.16</v>
      </c>
      <c r="I119" s="9">
        <v>20</v>
      </c>
      <c r="J119" s="8">
        <f t="shared" si="3"/>
        <v>8026.3680000000013</v>
      </c>
      <c r="K119" s="6" t="s">
        <v>46</v>
      </c>
    </row>
    <row r="120" spans="1:11" x14ac:dyDescent="0.35">
      <c r="A120" s="2" t="s">
        <v>160</v>
      </c>
      <c r="B120" s="3">
        <v>45804</v>
      </c>
      <c r="C120" s="2" t="s">
        <v>33</v>
      </c>
      <c r="D120" s="2" t="s">
        <v>24</v>
      </c>
      <c r="E120" s="2" t="s">
        <v>64</v>
      </c>
      <c r="F120" s="2" t="s">
        <v>15</v>
      </c>
      <c r="G120" s="2">
        <v>7</v>
      </c>
      <c r="H120" s="4">
        <v>310.61</v>
      </c>
      <c r="I120" s="5">
        <v>10</v>
      </c>
      <c r="J120" s="4">
        <f t="shared" si="3"/>
        <v>1956.8430000000001</v>
      </c>
      <c r="K120" s="2" t="s">
        <v>26</v>
      </c>
    </row>
    <row r="121" spans="1:11" x14ac:dyDescent="0.35">
      <c r="A121" s="6" t="s">
        <v>161</v>
      </c>
      <c r="B121" s="7">
        <v>45768</v>
      </c>
      <c r="C121" s="6" t="s">
        <v>18</v>
      </c>
      <c r="D121" s="6" t="s">
        <v>19</v>
      </c>
      <c r="E121" s="6" t="s">
        <v>14</v>
      </c>
      <c r="F121" s="6" t="s">
        <v>15</v>
      </c>
      <c r="G121" s="6">
        <v>5</v>
      </c>
      <c r="H121" s="8">
        <v>300.82</v>
      </c>
      <c r="I121" s="9">
        <v>0</v>
      </c>
      <c r="J121" s="8">
        <f t="shared" si="3"/>
        <v>1504.1</v>
      </c>
      <c r="K121" s="6" t="s">
        <v>46</v>
      </c>
    </row>
    <row r="122" spans="1:11" x14ac:dyDescent="0.35">
      <c r="A122" s="2" t="s">
        <v>162</v>
      </c>
      <c r="B122" s="3">
        <v>45751</v>
      </c>
      <c r="C122" s="2" t="s">
        <v>33</v>
      </c>
      <c r="D122" s="2" t="s">
        <v>24</v>
      </c>
      <c r="E122" s="2" t="s">
        <v>14</v>
      </c>
      <c r="F122" s="2" t="s">
        <v>15</v>
      </c>
      <c r="G122" s="2">
        <v>12</v>
      </c>
      <c r="H122" s="4">
        <v>272.48</v>
      </c>
      <c r="I122" s="5">
        <v>10</v>
      </c>
      <c r="J122" s="4">
        <f t="shared" si="3"/>
        <v>2942.7840000000001</v>
      </c>
      <c r="K122" s="2" t="s">
        <v>26</v>
      </c>
    </row>
    <row r="123" spans="1:11" x14ac:dyDescent="0.35">
      <c r="A123" s="6" t="s">
        <v>163</v>
      </c>
      <c r="B123" s="7">
        <v>45822</v>
      </c>
      <c r="C123" s="6" t="s">
        <v>33</v>
      </c>
      <c r="D123" s="6" t="s">
        <v>42</v>
      </c>
      <c r="E123" s="6" t="s">
        <v>35</v>
      </c>
      <c r="F123" s="6" t="s">
        <v>21</v>
      </c>
      <c r="G123" s="6">
        <v>8</v>
      </c>
      <c r="H123" s="8">
        <v>1079.93</v>
      </c>
      <c r="I123" s="9">
        <v>15</v>
      </c>
      <c r="J123" s="8">
        <f t="shared" si="3"/>
        <v>7343.5240000000003</v>
      </c>
      <c r="K123" s="6" t="s">
        <v>26</v>
      </c>
    </row>
    <row r="124" spans="1:11" x14ac:dyDescent="0.35">
      <c r="A124" s="2" t="s">
        <v>164</v>
      </c>
      <c r="B124" s="3">
        <v>45770</v>
      </c>
      <c r="C124" s="2" t="s">
        <v>45</v>
      </c>
      <c r="D124" s="2" t="s">
        <v>24</v>
      </c>
      <c r="E124" s="2" t="s">
        <v>39</v>
      </c>
      <c r="F124" s="2" t="s">
        <v>40</v>
      </c>
      <c r="G124" s="2">
        <v>5</v>
      </c>
      <c r="H124" s="4">
        <v>45.17</v>
      </c>
      <c r="I124" s="5">
        <v>5</v>
      </c>
      <c r="J124" s="4">
        <f t="shared" si="3"/>
        <v>214.5575</v>
      </c>
      <c r="K124" s="2" t="s">
        <v>46</v>
      </c>
    </row>
    <row r="125" spans="1:11" x14ac:dyDescent="0.35">
      <c r="A125" s="6" t="s">
        <v>165</v>
      </c>
      <c r="B125" s="7">
        <v>45519</v>
      </c>
      <c r="C125" s="6" t="s">
        <v>62</v>
      </c>
      <c r="D125" s="6" t="s">
        <v>42</v>
      </c>
      <c r="E125" s="6" t="s">
        <v>25</v>
      </c>
      <c r="F125" s="6" t="s">
        <v>21</v>
      </c>
      <c r="G125" s="6">
        <v>4</v>
      </c>
      <c r="H125" s="8">
        <v>587.84</v>
      </c>
      <c r="I125" s="9">
        <v>10</v>
      </c>
      <c r="J125" s="8">
        <f t="shared" si="3"/>
        <v>2116.2240000000002</v>
      </c>
      <c r="K125" s="6" t="s">
        <v>26</v>
      </c>
    </row>
    <row r="126" spans="1:11" x14ac:dyDescent="0.35">
      <c r="A126" s="2" t="s">
        <v>166</v>
      </c>
      <c r="B126" s="3">
        <v>45360</v>
      </c>
      <c r="C126" s="2" t="s">
        <v>18</v>
      </c>
      <c r="D126" s="2" t="s">
        <v>13</v>
      </c>
      <c r="E126" s="2" t="s">
        <v>56</v>
      </c>
      <c r="F126" s="2" t="s">
        <v>57</v>
      </c>
      <c r="G126" s="2">
        <v>5</v>
      </c>
      <c r="H126" s="4">
        <v>342.59</v>
      </c>
      <c r="I126" s="5">
        <v>0</v>
      </c>
      <c r="J126" s="4">
        <f t="shared" si="3"/>
        <v>1712.9499999999998</v>
      </c>
      <c r="K126" s="2" t="s">
        <v>26</v>
      </c>
    </row>
    <row r="127" spans="1:11" x14ac:dyDescent="0.35">
      <c r="A127" s="6" t="s">
        <v>167</v>
      </c>
      <c r="B127" s="7">
        <v>45775</v>
      </c>
      <c r="C127" s="6" t="s">
        <v>23</v>
      </c>
      <c r="D127" s="6" t="s">
        <v>34</v>
      </c>
      <c r="E127" s="6" t="s">
        <v>56</v>
      </c>
      <c r="F127" s="6" t="s">
        <v>57</v>
      </c>
      <c r="G127" s="6">
        <v>8</v>
      </c>
      <c r="H127" s="8">
        <v>305.75</v>
      </c>
      <c r="I127" s="9">
        <v>10</v>
      </c>
      <c r="J127" s="8">
        <f t="shared" si="3"/>
        <v>2201.4</v>
      </c>
      <c r="K127" s="6" t="s">
        <v>16</v>
      </c>
    </row>
    <row r="128" spans="1:11" x14ac:dyDescent="0.35">
      <c r="A128" s="2" t="s">
        <v>168</v>
      </c>
      <c r="B128" s="3">
        <v>45672</v>
      </c>
      <c r="C128" s="2" t="s">
        <v>45</v>
      </c>
      <c r="D128" s="2" t="s">
        <v>42</v>
      </c>
      <c r="E128" s="2" t="s">
        <v>39</v>
      </c>
      <c r="F128" s="2" t="s">
        <v>40</v>
      </c>
      <c r="G128" s="2">
        <v>4</v>
      </c>
      <c r="H128" s="4">
        <v>46.93</v>
      </c>
      <c r="I128" s="5">
        <v>0</v>
      </c>
      <c r="J128" s="4">
        <f t="shared" si="3"/>
        <v>187.72</v>
      </c>
      <c r="K128" s="2" t="s">
        <v>46</v>
      </c>
    </row>
    <row r="129" spans="1:11" x14ac:dyDescent="0.35">
      <c r="A129" s="6" t="s">
        <v>169</v>
      </c>
      <c r="B129" s="7">
        <v>45333</v>
      </c>
      <c r="C129" s="6" t="s">
        <v>12</v>
      </c>
      <c r="D129" s="6" t="s">
        <v>34</v>
      </c>
      <c r="E129" s="6" t="s">
        <v>39</v>
      </c>
      <c r="F129" s="6" t="s">
        <v>40</v>
      </c>
      <c r="G129" s="6">
        <v>15</v>
      </c>
      <c r="H129" s="8">
        <v>49.63</v>
      </c>
      <c r="I129" s="9">
        <v>5</v>
      </c>
      <c r="J129" s="8">
        <f t="shared" si="3"/>
        <v>707.22749999999996</v>
      </c>
      <c r="K129" s="6" t="s">
        <v>26</v>
      </c>
    </row>
    <row r="130" spans="1:11" x14ac:dyDescent="0.35">
      <c r="A130" s="2" t="s">
        <v>170</v>
      </c>
      <c r="B130" s="3">
        <v>45749</v>
      </c>
      <c r="C130" s="2" t="s">
        <v>23</v>
      </c>
      <c r="D130" s="2" t="s">
        <v>24</v>
      </c>
      <c r="E130" s="2" t="s">
        <v>66</v>
      </c>
      <c r="F130" s="2" t="s">
        <v>57</v>
      </c>
      <c r="G130" s="2">
        <v>6</v>
      </c>
      <c r="H130" s="4">
        <v>469.32</v>
      </c>
      <c r="I130" s="5">
        <v>20</v>
      </c>
      <c r="J130" s="4">
        <f t="shared" ref="J130:J161" si="4">G130*H130*(1-I130/100)</f>
        <v>2252.7360000000003</v>
      </c>
      <c r="K130" s="2" t="s">
        <v>46</v>
      </c>
    </row>
    <row r="131" spans="1:11" x14ac:dyDescent="0.35">
      <c r="A131" s="6" t="s">
        <v>171</v>
      </c>
      <c r="B131" s="7">
        <v>45399</v>
      </c>
      <c r="C131" s="6" t="s">
        <v>18</v>
      </c>
      <c r="D131" s="6" t="s">
        <v>19</v>
      </c>
      <c r="E131" s="6" t="s">
        <v>39</v>
      </c>
      <c r="F131" s="6" t="s">
        <v>40</v>
      </c>
      <c r="G131" s="6">
        <v>3</v>
      </c>
      <c r="H131" s="8">
        <v>45.11</v>
      </c>
      <c r="I131" s="9">
        <v>15</v>
      </c>
      <c r="J131" s="8">
        <f t="shared" si="4"/>
        <v>115.03049999999999</v>
      </c>
      <c r="K131" s="6" t="s">
        <v>26</v>
      </c>
    </row>
    <row r="132" spans="1:11" x14ac:dyDescent="0.35">
      <c r="A132" s="2" t="s">
        <v>172</v>
      </c>
      <c r="B132" s="3">
        <v>45367</v>
      </c>
      <c r="C132" s="2" t="s">
        <v>45</v>
      </c>
      <c r="D132" s="2" t="s">
        <v>13</v>
      </c>
      <c r="E132" s="2" t="s">
        <v>66</v>
      </c>
      <c r="F132" s="2" t="s">
        <v>57</v>
      </c>
      <c r="G132" s="2">
        <v>12</v>
      </c>
      <c r="H132" s="4">
        <v>419.74</v>
      </c>
      <c r="I132" s="5">
        <v>0</v>
      </c>
      <c r="J132" s="4">
        <f t="shared" si="4"/>
        <v>5036.88</v>
      </c>
      <c r="K132" s="2" t="s">
        <v>26</v>
      </c>
    </row>
    <row r="133" spans="1:11" x14ac:dyDescent="0.35">
      <c r="A133" s="6" t="s">
        <v>173</v>
      </c>
      <c r="B133" s="7">
        <v>45821</v>
      </c>
      <c r="C133" s="6" t="s">
        <v>45</v>
      </c>
      <c r="D133" s="6" t="s">
        <v>34</v>
      </c>
      <c r="E133" s="6" t="s">
        <v>56</v>
      </c>
      <c r="F133" s="6" t="s">
        <v>57</v>
      </c>
      <c r="G133" s="6">
        <v>1</v>
      </c>
      <c r="H133" s="8">
        <v>326.85000000000002</v>
      </c>
      <c r="I133" s="9">
        <v>0</v>
      </c>
      <c r="J133" s="8">
        <f t="shared" si="4"/>
        <v>326.85000000000002</v>
      </c>
      <c r="K133" s="6" t="s">
        <v>26</v>
      </c>
    </row>
    <row r="134" spans="1:11" x14ac:dyDescent="0.35">
      <c r="A134" s="2" t="s">
        <v>174</v>
      </c>
      <c r="B134" s="3">
        <v>45528</v>
      </c>
      <c r="C134" s="2" t="s">
        <v>33</v>
      </c>
      <c r="D134" s="2" t="s">
        <v>34</v>
      </c>
      <c r="E134" s="2" t="s">
        <v>35</v>
      </c>
      <c r="F134" s="2" t="s">
        <v>21</v>
      </c>
      <c r="G134" s="2">
        <v>13</v>
      </c>
      <c r="H134" s="4">
        <v>1005.52</v>
      </c>
      <c r="I134" s="5">
        <v>20</v>
      </c>
      <c r="J134" s="4">
        <f t="shared" si="4"/>
        <v>10457.408000000001</v>
      </c>
      <c r="K134" s="2" t="s">
        <v>26</v>
      </c>
    </row>
    <row r="135" spans="1:11" x14ac:dyDescent="0.35">
      <c r="A135" s="6" t="s">
        <v>175</v>
      </c>
      <c r="B135" s="7">
        <v>45722</v>
      </c>
      <c r="C135" s="6" t="s">
        <v>12</v>
      </c>
      <c r="D135" s="6" t="s">
        <v>13</v>
      </c>
      <c r="E135" s="6" t="s">
        <v>20</v>
      </c>
      <c r="F135" s="6" t="s">
        <v>21</v>
      </c>
      <c r="G135" s="6">
        <v>1</v>
      </c>
      <c r="H135" s="8">
        <v>3139.5</v>
      </c>
      <c r="I135" s="9">
        <v>0</v>
      </c>
      <c r="J135" s="8">
        <f t="shared" si="4"/>
        <v>3139.5</v>
      </c>
      <c r="K135" s="6" t="s">
        <v>26</v>
      </c>
    </row>
    <row r="136" spans="1:11" x14ac:dyDescent="0.35">
      <c r="A136" s="2" t="s">
        <v>176</v>
      </c>
      <c r="B136" s="3">
        <v>45638</v>
      </c>
      <c r="C136" s="2" t="s">
        <v>18</v>
      </c>
      <c r="D136" s="2" t="s">
        <v>42</v>
      </c>
      <c r="E136" s="2" t="s">
        <v>14</v>
      </c>
      <c r="F136" s="2" t="s">
        <v>15</v>
      </c>
      <c r="G136" s="2">
        <v>9</v>
      </c>
      <c r="H136" s="4">
        <v>290.87</v>
      </c>
      <c r="I136" s="5">
        <v>15</v>
      </c>
      <c r="J136" s="4">
        <f t="shared" si="4"/>
        <v>2225.1554999999998</v>
      </c>
      <c r="K136" s="2" t="s">
        <v>26</v>
      </c>
    </row>
    <row r="137" spans="1:11" x14ac:dyDescent="0.35">
      <c r="A137" s="6" t="s">
        <v>177</v>
      </c>
      <c r="B137" s="7">
        <v>45449</v>
      </c>
      <c r="C137" s="6" t="s">
        <v>33</v>
      </c>
      <c r="D137" s="6" t="s">
        <v>24</v>
      </c>
      <c r="E137" s="6" t="s">
        <v>25</v>
      </c>
      <c r="F137" s="6" t="s">
        <v>21</v>
      </c>
      <c r="G137" s="6">
        <v>10</v>
      </c>
      <c r="H137" s="8">
        <v>556.80999999999995</v>
      </c>
      <c r="I137" s="9">
        <v>5</v>
      </c>
      <c r="J137" s="8">
        <f t="shared" si="4"/>
        <v>5289.6949999999988</v>
      </c>
      <c r="K137" s="6" t="s">
        <v>16</v>
      </c>
    </row>
    <row r="138" spans="1:11" x14ac:dyDescent="0.35">
      <c r="A138" s="2" t="s">
        <v>178</v>
      </c>
      <c r="B138" s="3">
        <v>45420</v>
      </c>
      <c r="C138" s="2" t="s">
        <v>18</v>
      </c>
      <c r="D138" s="2" t="s">
        <v>13</v>
      </c>
      <c r="E138" s="2" t="s">
        <v>64</v>
      </c>
      <c r="F138" s="2" t="s">
        <v>15</v>
      </c>
      <c r="G138" s="2">
        <v>5</v>
      </c>
      <c r="H138" s="4">
        <v>362.68</v>
      </c>
      <c r="I138" s="5">
        <v>20</v>
      </c>
      <c r="J138" s="4">
        <f t="shared" si="4"/>
        <v>1450.7200000000003</v>
      </c>
      <c r="K138" s="2" t="s">
        <v>46</v>
      </c>
    </row>
    <row r="139" spans="1:11" x14ac:dyDescent="0.35">
      <c r="A139" s="6" t="s">
        <v>179</v>
      </c>
      <c r="B139" s="7">
        <v>45587</v>
      </c>
      <c r="C139" s="6" t="s">
        <v>62</v>
      </c>
      <c r="D139" s="6" t="s">
        <v>42</v>
      </c>
      <c r="E139" s="6" t="s">
        <v>35</v>
      </c>
      <c r="F139" s="6" t="s">
        <v>21</v>
      </c>
      <c r="G139" s="6">
        <v>8</v>
      </c>
      <c r="H139" s="8">
        <v>1079.49</v>
      </c>
      <c r="I139" s="9">
        <v>10</v>
      </c>
      <c r="J139" s="8">
        <f t="shared" si="4"/>
        <v>7772.3280000000004</v>
      </c>
      <c r="K139" s="6" t="s">
        <v>26</v>
      </c>
    </row>
    <row r="140" spans="1:11" x14ac:dyDescent="0.35">
      <c r="A140" s="2" t="s">
        <v>180</v>
      </c>
      <c r="B140" s="3">
        <v>45711</v>
      </c>
      <c r="C140" s="2" t="s">
        <v>45</v>
      </c>
      <c r="D140" s="2" t="s">
        <v>34</v>
      </c>
      <c r="E140" s="2" t="s">
        <v>28</v>
      </c>
      <c r="F140" s="2" t="s">
        <v>29</v>
      </c>
      <c r="G140" s="2">
        <v>4</v>
      </c>
      <c r="H140" s="4">
        <v>2069.7199999999998</v>
      </c>
      <c r="I140" s="5">
        <v>20</v>
      </c>
      <c r="J140" s="4">
        <f t="shared" si="4"/>
        <v>6623.1039999999994</v>
      </c>
      <c r="K140" s="2" t="s">
        <v>46</v>
      </c>
    </row>
    <row r="141" spans="1:11" x14ac:dyDescent="0.35">
      <c r="A141" s="6" t="s">
        <v>181</v>
      </c>
      <c r="B141" s="7">
        <v>45390</v>
      </c>
      <c r="C141" s="6" t="s">
        <v>18</v>
      </c>
      <c r="D141" s="6" t="s">
        <v>24</v>
      </c>
      <c r="E141" s="6" t="s">
        <v>31</v>
      </c>
      <c r="F141" s="6" t="s">
        <v>29</v>
      </c>
      <c r="G141" s="6">
        <v>10</v>
      </c>
      <c r="H141" s="8">
        <v>1168.76</v>
      </c>
      <c r="I141" s="9">
        <v>15</v>
      </c>
      <c r="J141" s="8">
        <f t="shared" si="4"/>
        <v>9934.4600000000009</v>
      </c>
      <c r="K141" s="6" t="s">
        <v>26</v>
      </c>
    </row>
    <row r="142" spans="1:11" x14ac:dyDescent="0.35">
      <c r="A142" s="2" t="s">
        <v>182</v>
      </c>
      <c r="B142" s="3">
        <v>45318</v>
      </c>
      <c r="C142" s="2" t="s">
        <v>12</v>
      </c>
      <c r="D142" s="2" t="s">
        <v>34</v>
      </c>
      <c r="E142" s="2" t="s">
        <v>28</v>
      </c>
      <c r="F142" s="2" t="s">
        <v>29</v>
      </c>
      <c r="G142" s="2">
        <v>1</v>
      </c>
      <c r="H142" s="4">
        <v>1874.67</v>
      </c>
      <c r="I142" s="5">
        <v>15</v>
      </c>
      <c r="J142" s="4">
        <f t="shared" si="4"/>
        <v>1593.4694999999999</v>
      </c>
      <c r="K142" s="2" t="s">
        <v>26</v>
      </c>
    </row>
    <row r="143" spans="1:11" x14ac:dyDescent="0.35">
      <c r="A143" s="6" t="s">
        <v>183</v>
      </c>
      <c r="B143" s="7">
        <v>45774</v>
      </c>
      <c r="C143" s="6" t="s">
        <v>45</v>
      </c>
      <c r="D143" s="6" t="s">
        <v>42</v>
      </c>
      <c r="E143" s="6" t="s">
        <v>66</v>
      </c>
      <c r="F143" s="6" t="s">
        <v>57</v>
      </c>
      <c r="G143" s="6">
        <v>13</v>
      </c>
      <c r="H143" s="8">
        <v>414.99</v>
      </c>
      <c r="I143" s="9">
        <v>15</v>
      </c>
      <c r="J143" s="8">
        <f t="shared" si="4"/>
        <v>4585.6395000000002</v>
      </c>
      <c r="K143" s="6" t="s">
        <v>26</v>
      </c>
    </row>
    <row r="144" spans="1:11" x14ac:dyDescent="0.35">
      <c r="A144" s="2" t="s">
        <v>184</v>
      </c>
      <c r="B144" s="3">
        <v>45557</v>
      </c>
      <c r="C144" s="2" t="s">
        <v>12</v>
      </c>
      <c r="D144" s="2" t="s">
        <v>42</v>
      </c>
      <c r="E144" s="2" t="s">
        <v>51</v>
      </c>
      <c r="F144" s="2" t="s">
        <v>21</v>
      </c>
      <c r="G144" s="2">
        <v>2</v>
      </c>
      <c r="H144" s="4">
        <v>878.16</v>
      </c>
      <c r="I144" s="5">
        <v>15</v>
      </c>
      <c r="J144" s="4">
        <f t="shared" si="4"/>
        <v>1492.8719999999998</v>
      </c>
      <c r="K144" s="2" t="s">
        <v>26</v>
      </c>
    </row>
    <row r="145" spans="1:11" x14ac:dyDescent="0.35">
      <c r="A145" s="6" t="s">
        <v>185</v>
      </c>
      <c r="B145" s="7">
        <v>45591</v>
      </c>
      <c r="C145" s="6" t="s">
        <v>18</v>
      </c>
      <c r="D145" s="6" t="s">
        <v>19</v>
      </c>
      <c r="E145" s="6" t="s">
        <v>66</v>
      </c>
      <c r="F145" s="6" t="s">
        <v>57</v>
      </c>
      <c r="G145" s="6">
        <v>6</v>
      </c>
      <c r="H145" s="8">
        <v>454.9</v>
      </c>
      <c r="I145" s="9">
        <v>0</v>
      </c>
      <c r="J145" s="8">
        <f t="shared" si="4"/>
        <v>2729.3999999999996</v>
      </c>
      <c r="K145" s="6" t="s">
        <v>26</v>
      </c>
    </row>
    <row r="146" spans="1:11" x14ac:dyDescent="0.35">
      <c r="A146" s="2" t="s">
        <v>186</v>
      </c>
      <c r="B146" s="3">
        <v>45620</v>
      </c>
      <c r="C146" s="2" t="s">
        <v>18</v>
      </c>
      <c r="D146" s="2" t="s">
        <v>42</v>
      </c>
      <c r="E146" s="2" t="s">
        <v>14</v>
      </c>
      <c r="F146" s="2" t="s">
        <v>15</v>
      </c>
      <c r="G146" s="2">
        <v>3</v>
      </c>
      <c r="H146" s="4">
        <v>318.02</v>
      </c>
      <c r="I146" s="5">
        <v>0</v>
      </c>
      <c r="J146" s="4">
        <f t="shared" si="4"/>
        <v>954.06</v>
      </c>
      <c r="K146" s="2" t="s">
        <v>16</v>
      </c>
    </row>
    <row r="147" spans="1:11" x14ac:dyDescent="0.35">
      <c r="A147" s="6" t="s">
        <v>187</v>
      </c>
      <c r="B147" s="7">
        <v>45786</v>
      </c>
      <c r="C147" s="6" t="s">
        <v>23</v>
      </c>
      <c r="D147" s="6" t="s">
        <v>13</v>
      </c>
      <c r="E147" s="6" t="s">
        <v>64</v>
      </c>
      <c r="F147" s="6" t="s">
        <v>15</v>
      </c>
      <c r="G147" s="6">
        <v>13</v>
      </c>
      <c r="H147" s="8">
        <v>331.09</v>
      </c>
      <c r="I147" s="9">
        <v>20</v>
      </c>
      <c r="J147" s="8">
        <f t="shared" si="4"/>
        <v>3443.3360000000002</v>
      </c>
      <c r="K147" s="6" t="s">
        <v>26</v>
      </c>
    </row>
    <row r="148" spans="1:11" x14ac:dyDescent="0.35">
      <c r="A148" s="2" t="s">
        <v>188</v>
      </c>
      <c r="B148" s="3">
        <v>45397</v>
      </c>
      <c r="C148" s="2" t="s">
        <v>33</v>
      </c>
      <c r="D148" s="2" t="s">
        <v>42</v>
      </c>
      <c r="E148" s="2" t="s">
        <v>14</v>
      </c>
      <c r="F148" s="2" t="s">
        <v>15</v>
      </c>
      <c r="G148" s="2">
        <v>14</v>
      </c>
      <c r="H148" s="4">
        <v>310.02999999999997</v>
      </c>
      <c r="I148" s="5">
        <v>15</v>
      </c>
      <c r="J148" s="4">
        <f t="shared" si="4"/>
        <v>3689.357</v>
      </c>
      <c r="K148" s="2" t="s">
        <v>46</v>
      </c>
    </row>
    <row r="149" spans="1:11" x14ac:dyDescent="0.35">
      <c r="A149" s="6" t="s">
        <v>189</v>
      </c>
      <c r="B149" s="7">
        <v>45820</v>
      </c>
      <c r="C149" s="6" t="s">
        <v>33</v>
      </c>
      <c r="D149" s="6" t="s">
        <v>34</v>
      </c>
      <c r="E149" s="6" t="s">
        <v>20</v>
      </c>
      <c r="F149" s="6" t="s">
        <v>21</v>
      </c>
      <c r="G149" s="6">
        <v>5</v>
      </c>
      <c r="H149" s="8">
        <v>3309.26</v>
      </c>
      <c r="I149" s="9">
        <v>5</v>
      </c>
      <c r="J149" s="8">
        <f t="shared" si="4"/>
        <v>15718.985000000002</v>
      </c>
      <c r="K149" s="6" t="s">
        <v>26</v>
      </c>
    </row>
    <row r="150" spans="1:11" x14ac:dyDescent="0.35">
      <c r="A150" s="2" t="s">
        <v>190</v>
      </c>
      <c r="B150" s="3">
        <v>45554</v>
      </c>
      <c r="C150" s="2" t="s">
        <v>18</v>
      </c>
      <c r="D150" s="2" t="s">
        <v>13</v>
      </c>
      <c r="E150" s="2" t="s">
        <v>35</v>
      </c>
      <c r="F150" s="2" t="s">
        <v>21</v>
      </c>
      <c r="G150" s="2">
        <v>11</v>
      </c>
      <c r="H150" s="4">
        <v>910.53</v>
      </c>
      <c r="I150" s="5">
        <v>0</v>
      </c>
      <c r="J150" s="4">
        <f t="shared" si="4"/>
        <v>10015.83</v>
      </c>
      <c r="K150" s="2" t="s">
        <v>16</v>
      </c>
    </row>
    <row r="151" spans="1:11" x14ac:dyDescent="0.35">
      <c r="A151" s="6" t="s">
        <v>191</v>
      </c>
      <c r="B151" s="7">
        <v>45819</v>
      </c>
      <c r="C151" s="6" t="s">
        <v>62</v>
      </c>
      <c r="D151" s="6" t="s">
        <v>42</v>
      </c>
      <c r="E151" s="6" t="s">
        <v>51</v>
      </c>
      <c r="F151" s="6" t="s">
        <v>21</v>
      </c>
      <c r="G151" s="6">
        <v>2</v>
      </c>
      <c r="H151" s="8">
        <v>825.9</v>
      </c>
      <c r="I151" s="9">
        <v>5</v>
      </c>
      <c r="J151" s="8">
        <f t="shared" si="4"/>
        <v>1569.2099999999998</v>
      </c>
      <c r="K151" s="6" t="s">
        <v>26</v>
      </c>
    </row>
    <row r="152" spans="1:11" x14ac:dyDescent="0.35">
      <c r="A152" s="2" t="s">
        <v>192</v>
      </c>
      <c r="B152" s="3">
        <v>45692</v>
      </c>
      <c r="C152" s="2" t="s">
        <v>23</v>
      </c>
      <c r="D152" s="2" t="s">
        <v>19</v>
      </c>
      <c r="E152" s="2" t="s">
        <v>20</v>
      </c>
      <c r="F152" s="2" t="s">
        <v>21</v>
      </c>
      <c r="G152" s="2">
        <v>5</v>
      </c>
      <c r="H152" s="4">
        <v>3676.74</v>
      </c>
      <c r="I152" s="5">
        <v>0</v>
      </c>
      <c r="J152" s="4">
        <f t="shared" si="4"/>
        <v>18383.699999999997</v>
      </c>
      <c r="K152" s="2" t="s">
        <v>26</v>
      </c>
    </row>
    <row r="153" spans="1:11" x14ac:dyDescent="0.35">
      <c r="A153" s="6" t="s">
        <v>193</v>
      </c>
      <c r="B153" s="7">
        <v>45522</v>
      </c>
      <c r="C153" s="6" t="s">
        <v>23</v>
      </c>
      <c r="D153" s="6" t="s">
        <v>34</v>
      </c>
      <c r="E153" s="6" t="s">
        <v>64</v>
      </c>
      <c r="F153" s="6" t="s">
        <v>15</v>
      </c>
      <c r="G153" s="6">
        <v>6</v>
      </c>
      <c r="H153" s="8">
        <v>362.99</v>
      </c>
      <c r="I153" s="9">
        <v>15</v>
      </c>
      <c r="J153" s="8">
        <f t="shared" si="4"/>
        <v>1851.249</v>
      </c>
      <c r="K153" s="6" t="s">
        <v>16</v>
      </c>
    </row>
    <row r="154" spans="1:11" x14ac:dyDescent="0.35">
      <c r="A154" s="2" t="s">
        <v>194</v>
      </c>
      <c r="B154" s="3">
        <v>45707</v>
      </c>
      <c r="C154" s="2" t="s">
        <v>12</v>
      </c>
      <c r="D154" s="2" t="s">
        <v>42</v>
      </c>
      <c r="E154" s="2" t="s">
        <v>25</v>
      </c>
      <c r="F154" s="2" t="s">
        <v>21</v>
      </c>
      <c r="G154" s="2">
        <v>11</v>
      </c>
      <c r="H154" s="4">
        <v>480.87</v>
      </c>
      <c r="I154" s="5">
        <v>5</v>
      </c>
      <c r="J154" s="4">
        <f t="shared" si="4"/>
        <v>5025.0914999999995</v>
      </c>
      <c r="K154" s="2" t="s">
        <v>16</v>
      </c>
    </row>
    <row r="155" spans="1:11" x14ac:dyDescent="0.35">
      <c r="A155" s="6" t="s">
        <v>195</v>
      </c>
      <c r="B155" s="7">
        <v>45697</v>
      </c>
      <c r="C155" s="6" t="s">
        <v>33</v>
      </c>
      <c r="D155" s="6" t="s">
        <v>13</v>
      </c>
      <c r="E155" s="6" t="s">
        <v>14</v>
      </c>
      <c r="F155" s="6" t="s">
        <v>15</v>
      </c>
      <c r="G155" s="6">
        <v>8</v>
      </c>
      <c r="H155" s="8">
        <v>293.24</v>
      </c>
      <c r="I155" s="9">
        <v>0</v>
      </c>
      <c r="J155" s="8">
        <f t="shared" si="4"/>
        <v>2345.92</v>
      </c>
      <c r="K155" s="6" t="s">
        <v>26</v>
      </c>
    </row>
    <row r="156" spans="1:11" x14ac:dyDescent="0.35">
      <c r="A156" s="2" t="s">
        <v>196</v>
      </c>
      <c r="B156" s="3">
        <v>45404</v>
      </c>
      <c r="C156" s="2" t="s">
        <v>45</v>
      </c>
      <c r="D156" s="2" t="s">
        <v>24</v>
      </c>
      <c r="E156" s="2" t="s">
        <v>51</v>
      </c>
      <c r="F156" s="2" t="s">
        <v>21</v>
      </c>
      <c r="G156" s="2">
        <v>6</v>
      </c>
      <c r="H156" s="4">
        <v>713.81</v>
      </c>
      <c r="I156" s="5">
        <v>0</v>
      </c>
      <c r="J156" s="4">
        <f t="shared" si="4"/>
        <v>4282.8599999999997</v>
      </c>
      <c r="K156" s="2" t="s">
        <v>26</v>
      </c>
    </row>
    <row r="157" spans="1:11" x14ac:dyDescent="0.35">
      <c r="A157" s="6" t="s">
        <v>197</v>
      </c>
      <c r="B157" s="7">
        <v>45410</v>
      </c>
      <c r="C157" s="6" t="s">
        <v>18</v>
      </c>
      <c r="D157" s="6" t="s">
        <v>19</v>
      </c>
      <c r="E157" s="6" t="s">
        <v>51</v>
      </c>
      <c r="F157" s="6" t="s">
        <v>21</v>
      </c>
      <c r="G157" s="6">
        <v>4</v>
      </c>
      <c r="H157" s="8">
        <v>827.13</v>
      </c>
      <c r="I157" s="9">
        <v>10</v>
      </c>
      <c r="J157" s="8">
        <f t="shared" si="4"/>
        <v>2977.6680000000001</v>
      </c>
      <c r="K157" s="6" t="s">
        <v>26</v>
      </c>
    </row>
    <row r="158" spans="1:11" x14ac:dyDescent="0.35">
      <c r="A158" s="2" t="s">
        <v>198</v>
      </c>
      <c r="B158" s="3">
        <v>45348</v>
      </c>
      <c r="C158" s="2" t="s">
        <v>45</v>
      </c>
      <c r="D158" s="2" t="s">
        <v>42</v>
      </c>
      <c r="E158" s="2" t="s">
        <v>43</v>
      </c>
      <c r="F158" s="2" t="s">
        <v>15</v>
      </c>
      <c r="G158" s="2">
        <v>13</v>
      </c>
      <c r="H158" s="4">
        <v>395.63</v>
      </c>
      <c r="I158" s="5">
        <v>0</v>
      </c>
      <c r="J158" s="4">
        <f t="shared" si="4"/>
        <v>5143.1899999999996</v>
      </c>
      <c r="K158" s="2" t="s">
        <v>16</v>
      </c>
    </row>
    <row r="159" spans="1:11" x14ac:dyDescent="0.35">
      <c r="A159" s="6" t="s">
        <v>199</v>
      </c>
      <c r="B159" s="7">
        <v>45492</v>
      </c>
      <c r="C159" s="6" t="s">
        <v>23</v>
      </c>
      <c r="D159" s="6" t="s">
        <v>42</v>
      </c>
      <c r="E159" s="6" t="s">
        <v>31</v>
      </c>
      <c r="F159" s="6" t="s">
        <v>29</v>
      </c>
      <c r="G159" s="6">
        <v>13</v>
      </c>
      <c r="H159" s="8">
        <v>1124.27</v>
      </c>
      <c r="I159" s="9">
        <v>10</v>
      </c>
      <c r="J159" s="8">
        <f t="shared" si="4"/>
        <v>13153.959000000001</v>
      </c>
      <c r="K159" s="6" t="s">
        <v>26</v>
      </c>
    </row>
    <row r="160" spans="1:11" x14ac:dyDescent="0.35">
      <c r="A160" s="2" t="s">
        <v>200</v>
      </c>
      <c r="B160" s="3">
        <v>45563</v>
      </c>
      <c r="C160" s="2" t="s">
        <v>23</v>
      </c>
      <c r="D160" s="2" t="s">
        <v>42</v>
      </c>
      <c r="E160" s="2" t="s">
        <v>56</v>
      </c>
      <c r="F160" s="2" t="s">
        <v>57</v>
      </c>
      <c r="G160" s="2">
        <v>5</v>
      </c>
      <c r="H160" s="4">
        <v>340.88</v>
      </c>
      <c r="I160" s="5">
        <v>0</v>
      </c>
      <c r="J160" s="4">
        <f t="shared" si="4"/>
        <v>1704.4</v>
      </c>
      <c r="K160" s="2" t="s">
        <v>26</v>
      </c>
    </row>
    <row r="161" spans="1:11" x14ac:dyDescent="0.35">
      <c r="A161" s="6" t="s">
        <v>201</v>
      </c>
      <c r="B161" s="7">
        <v>45413</v>
      </c>
      <c r="C161" s="6" t="s">
        <v>45</v>
      </c>
      <c r="D161" s="6" t="s">
        <v>42</v>
      </c>
      <c r="E161" s="6" t="s">
        <v>66</v>
      </c>
      <c r="F161" s="6" t="s">
        <v>57</v>
      </c>
      <c r="G161" s="6">
        <v>6</v>
      </c>
      <c r="H161" s="8">
        <v>379.66</v>
      </c>
      <c r="I161" s="9">
        <v>0</v>
      </c>
      <c r="J161" s="8">
        <f t="shared" si="4"/>
        <v>2277.96</v>
      </c>
      <c r="K161" s="6" t="s">
        <v>26</v>
      </c>
    </row>
    <row r="162" spans="1:11" x14ac:dyDescent="0.35">
      <c r="A162" s="2" t="s">
        <v>202</v>
      </c>
      <c r="B162" s="3">
        <v>45436</v>
      </c>
      <c r="C162" s="2" t="s">
        <v>18</v>
      </c>
      <c r="D162" s="2" t="s">
        <v>24</v>
      </c>
      <c r="E162" s="2" t="s">
        <v>35</v>
      </c>
      <c r="F162" s="2" t="s">
        <v>21</v>
      </c>
      <c r="G162" s="2">
        <v>12</v>
      </c>
      <c r="H162" s="4">
        <v>870.1</v>
      </c>
      <c r="I162" s="5">
        <v>5</v>
      </c>
      <c r="J162" s="4">
        <f t="shared" ref="J162:J193" si="5">G162*H162*(1-I162/100)</f>
        <v>9919.14</v>
      </c>
      <c r="K162" s="2" t="s">
        <v>26</v>
      </c>
    </row>
    <row r="163" spans="1:11" x14ac:dyDescent="0.35">
      <c r="A163" s="6" t="s">
        <v>203</v>
      </c>
      <c r="B163" s="7">
        <v>45796</v>
      </c>
      <c r="C163" s="6" t="s">
        <v>33</v>
      </c>
      <c r="D163" s="6" t="s">
        <v>34</v>
      </c>
      <c r="E163" s="6" t="s">
        <v>56</v>
      </c>
      <c r="F163" s="6" t="s">
        <v>57</v>
      </c>
      <c r="G163" s="6">
        <v>4</v>
      </c>
      <c r="H163" s="8">
        <v>352.27</v>
      </c>
      <c r="I163" s="9">
        <v>0</v>
      </c>
      <c r="J163" s="8">
        <f t="shared" si="5"/>
        <v>1409.08</v>
      </c>
      <c r="K163" s="6" t="s">
        <v>16</v>
      </c>
    </row>
    <row r="164" spans="1:11" x14ac:dyDescent="0.35">
      <c r="A164" s="2" t="s">
        <v>204</v>
      </c>
      <c r="B164" s="3">
        <v>45580</v>
      </c>
      <c r="C164" s="2" t="s">
        <v>12</v>
      </c>
      <c r="D164" s="2" t="s">
        <v>19</v>
      </c>
      <c r="E164" s="2" t="s">
        <v>20</v>
      </c>
      <c r="F164" s="2" t="s">
        <v>21</v>
      </c>
      <c r="G164" s="2">
        <v>8</v>
      </c>
      <c r="H164" s="4">
        <v>3557.84</v>
      </c>
      <c r="I164" s="5">
        <v>5</v>
      </c>
      <c r="J164" s="4">
        <f t="shared" si="5"/>
        <v>27039.583999999999</v>
      </c>
      <c r="K164" s="2" t="s">
        <v>26</v>
      </c>
    </row>
    <row r="165" spans="1:11" x14ac:dyDescent="0.35">
      <c r="A165" s="6" t="s">
        <v>205</v>
      </c>
      <c r="B165" s="7">
        <v>45770</v>
      </c>
      <c r="C165" s="6" t="s">
        <v>18</v>
      </c>
      <c r="D165" s="6" t="s">
        <v>19</v>
      </c>
      <c r="E165" s="6" t="s">
        <v>35</v>
      </c>
      <c r="F165" s="6" t="s">
        <v>21</v>
      </c>
      <c r="G165" s="6">
        <v>6</v>
      </c>
      <c r="H165" s="8">
        <v>999.47</v>
      </c>
      <c r="I165" s="9">
        <v>0</v>
      </c>
      <c r="J165" s="8">
        <f t="shared" si="5"/>
        <v>5996.82</v>
      </c>
      <c r="K165" s="6" t="s">
        <v>26</v>
      </c>
    </row>
    <row r="166" spans="1:11" x14ac:dyDescent="0.35">
      <c r="A166" s="2" t="s">
        <v>206</v>
      </c>
      <c r="B166" s="3">
        <v>45555</v>
      </c>
      <c r="C166" s="2" t="s">
        <v>12</v>
      </c>
      <c r="D166" s="2" t="s">
        <v>24</v>
      </c>
      <c r="E166" s="2" t="s">
        <v>56</v>
      </c>
      <c r="F166" s="2" t="s">
        <v>57</v>
      </c>
      <c r="G166" s="2">
        <v>12</v>
      </c>
      <c r="H166" s="4">
        <v>304.2</v>
      </c>
      <c r="I166" s="5">
        <v>10</v>
      </c>
      <c r="J166" s="4">
        <f t="shared" si="5"/>
        <v>3285.3599999999997</v>
      </c>
      <c r="K166" s="2" t="s">
        <v>16</v>
      </c>
    </row>
    <row r="167" spans="1:11" x14ac:dyDescent="0.35">
      <c r="A167" s="6" t="s">
        <v>207</v>
      </c>
      <c r="B167" s="7">
        <v>45580</v>
      </c>
      <c r="C167" s="6" t="s">
        <v>62</v>
      </c>
      <c r="D167" s="6" t="s">
        <v>24</v>
      </c>
      <c r="E167" s="6" t="s">
        <v>25</v>
      </c>
      <c r="F167" s="6" t="s">
        <v>21</v>
      </c>
      <c r="G167" s="6">
        <v>2</v>
      </c>
      <c r="H167" s="8">
        <v>571.1</v>
      </c>
      <c r="I167" s="9">
        <v>0</v>
      </c>
      <c r="J167" s="8">
        <f t="shared" si="5"/>
        <v>1142.2</v>
      </c>
      <c r="K167" s="6" t="s">
        <v>16</v>
      </c>
    </row>
    <row r="168" spans="1:11" x14ac:dyDescent="0.35">
      <c r="A168" s="2" t="s">
        <v>208</v>
      </c>
      <c r="B168" s="3">
        <v>45487</v>
      </c>
      <c r="C168" s="2" t="s">
        <v>18</v>
      </c>
      <c r="D168" s="2" t="s">
        <v>42</v>
      </c>
      <c r="E168" s="2" t="s">
        <v>25</v>
      </c>
      <c r="F168" s="2" t="s">
        <v>21</v>
      </c>
      <c r="G168" s="2">
        <v>6</v>
      </c>
      <c r="H168" s="4">
        <v>575.55999999999995</v>
      </c>
      <c r="I168" s="5">
        <v>5</v>
      </c>
      <c r="J168" s="4">
        <f t="shared" si="5"/>
        <v>3280.6919999999996</v>
      </c>
      <c r="K168" s="2" t="s">
        <v>46</v>
      </c>
    </row>
    <row r="169" spans="1:11" x14ac:dyDescent="0.35">
      <c r="A169" s="6" t="s">
        <v>209</v>
      </c>
      <c r="B169" s="7">
        <v>45393</v>
      </c>
      <c r="C169" s="6" t="s">
        <v>18</v>
      </c>
      <c r="D169" s="6" t="s">
        <v>13</v>
      </c>
      <c r="E169" s="6" t="s">
        <v>51</v>
      </c>
      <c r="F169" s="6" t="s">
        <v>21</v>
      </c>
      <c r="G169" s="6">
        <v>5</v>
      </c>
      <c r="H169" s="8">
        <v>774.99</v>
      </c>
      <c r="I169" s="9">
        <v>0</v>
      </c>
      <c r="J169" s="8">
        <f t="shared" si="5"/>
        <v>3874.95</v>
      </c>
      <c r="K169" s="6" t="s">
        <v>46</v>
      </c>
    </row>
    <row r="170" spans="1:11" x14ac:dyDescent="0.35">
      <c r="A170" s="2" t="s">
        <v>210</v>
      </c>
      <c r="B170" s="3">
        <v>45354</v>
      </c>
      <c r="C170" s="2" t="s">
        <v>33</v>
      </c>
      <c r="D170" s="2" t="s">
        <v>19</v>
      </c>
      <c r="E170" s="2" t="s">
        <v>25</v>
      </c>
      <c r="F170" s="2" t="s">
        <v>21</v>
      </c>
      <c r="G170" s="2">
        <v>2</v>
      </c>
      <c r="H170" s="4">
        <v>564.79999999999995</v>
      </c>
      <c r="I170" s="5">
        <v>0</v>
      </c>
      <c r="J170" s="4">
        <f t="shared" si="5"/>
        <v>1129.5999999999999</v>
      </c>
      <c r="K170" s="2" t="s">
        <v>26</v>
      </c>
    </row>
    <row r="171" spans="1:11" x14ac:dyDescent="0.35">
      <c r="A171" s="6" t="s">
        <v>211</v>
      </c>
      <c r="B171" s="7">
        <v>45810</v>
      </c>
      <c r="C171" s="6" t="s">
        <v>62</v>
      </c>
      <c r="D171" s="6" t="s">
        <v>24</v>
      </c>
      <c r="E171" s="6" t="s">
        <v>56</v>
      </c>
      <c r="F171" s="6" t="s">
        <v>57</v>
      </c>
      <c r="G171" s="6">
        <v>6</v>
      </c>
      <c r="H171" s="8">
        <v>330.93</v>
      </c>
      <c r="I171" s="9">
        <v>5</v>
      </c>
      <c r="J171" s="8">
        <f t="shared" si="5"/>
        <v>1886.3009999999999</v>
      </c>
      <c r="K171" s="6" t="s">
        <v>26</v>
      </c>
    </row>
    <row r="172" spans="1:11" x14ac:dyDescent="0.35">
      <c r="A172" s="2" t="s">
        <v>212</v>
      </c>
      <c r="B172" s="3">
        <v>45716</v>
      </c>
      <c r="C172" s="2" t="s">
        <v>12</v>
      </c>
      <c r="D172" s="2" t="s">
        <v>19</v>
      </c>
      <c r="E172" s="2" t="s">
        <v>28</v>
      </c>
      <c r="F172" s="2" t="s">
        <v>29</v>
      </c>
      <c r="G172" s="2">
        <v>10</v>
      </c>
      <c r="H172" s="4">
        <v>1760.6</v>
      </c>
      <c r="I172" s="5">
        <v>0</v>
      </c>
      <c r="J172" s="4">
        <f t="shared" si="5"/>
        <v>17606</v>
      </c>
      <c r="K172" s="2" t="s">
        <v>16</v>
      </c>
    </row>
    <row r="173" spans="1:11" x14ac:dyDescent="0.35">
      <c r="A173" s="6" t="s">
        <v>213</v>
      </c>
      <c r="B173" s="7">
        <v>45784</v>
      </c>
      <c r="C173" s="6" t="s">
        <v>23</v>
      </c>
      <c r="D173" s="6" t="s">
        <v>34</v>
      </c>
      <c r="E173" s="6" t="s">
        <v>14</v>
      </c>
      <c r="F173" s="6" t="s">
        <v>15</v>
      </c>
      <c r="G173" s="6">
        <v>14</v>
      </c>
      <c r="H173" s="8">
        <v>268.85000000000002</v>
      </c>
      <c r="I173" s="9">
        <v>20</v>
      </c>
      <c r="J173" s="8">
        <f t="shared" si="5"/>
        <v>3011.1200000000008</v>
      </c>
      <c r="K173" s="6" t="s">
        <v>16</v>
      </c>
    </row>
    <row r="174" spans="1:11" x14ac:dyDescent="0.35">
      <c r="A174" s="2" t="s">
        <v>214</v>
      </c>
      <c r="B174" s="3">
        <v>45630</v>
      </c>
      <c r="C174" s="2" t="s">
        <v>45</v>
      </c>
      <c r="D174" s="2" t="s">
        <v>24</v>
      </c>
      <c r="E174" s="2" t="s">
        <v>14</v>
      </c>
      <c r="F174" s="2" t="s">
        <v>15</v>
      </c>
      <c r="G174" s="2">
        <v>13</v>
      </c>
      <c r="H174" s="4">
        <v>292.11</v>
      </c>
      <c r="I174" s="5">
        <v>10</v>
      </c>
      <c r="J174" s="4">
        <f t="shared" si="5"/>
        <v>3417.6870000000004</v>
      </c>
      <c r="K174" s="2" t="s">
        <v>16</v>
      </c>
    </row>
    <row r="175" spans="1:11" x14ac:dyDescent="0.35">
      <c r="A175" s="6" t="s">
        <v>215</v>
      </c>
      <c r="B175" s="7">
        <v>45809</v>
      </c>
      <c r="C175" s="6" t="s">
        <v>62</v>
      </c>
      <c r="D175" s="6" t="s">
        <v>13</v>
      </c>
      <c r="E175" s="6" t="s">
        <v>20</v>
      </c>
      <c r="F175" s="6" t="s">
        <v>21</v>
      </c>
      <c r="G175" s="6">
        <v>3</v>
      </c>
      <c r="H175" s="8">
        <v>3098.62</v>
      </c>
      <c r="I175" s="9">
        <v>20</v>
      </c>
      <c r="J175" s="8">
        <f t="shared" si="5"/>
        <v>7436.688000000001</v>
      </c>
      <c r="K175" s="6" t="s">
        <v>26</v>
      </c>
    </row>
    <row r="176" spans="1:11" x14ac:dyDescent="0.35">
      <c r="A176" s="2" t="s">
        <v>216</v>
      </c>
      <c r="B176" s="3">
        <v>45608</v>
      </c>
      <c r="C176" s="2" t="s">
        <v>33</v>
      </c>
      <c r="D176" s="2" t="s">
        <v>42</v>
      </c>
      <c r="E176" s="2" t="s">
        <v>43</v>
      </c>
      <c r="F176" s="2" t="s">
        <v>15</v>
      </c>
      <c r="G176" s="2">
        <v>10</v>
      </c>
      <c r="H176" s="4">
        <v>404.45</v>
      </c>
      <c r="I176" s="5">
        <v>0</v>
      </c>
      <c r="J176" s="4">
        <f t="shared" si="5"/>
        <v>4044.5</v>
      </c>
      <c r="K176" s="2" t="s">
        <v>26</v>
      </c>
    </row>
    <row r="177" spans="1:11" x14ac:dyDescent="0.35">
      <c r="A177" s="6" t="s">
        <v>217</v>
      </c>
      <c r="B177" s="7">
        <v>45294</v>
      </c>
      <c r="C177" s="6" t="s">
        <v>12</v>
      </c>
      <c r="D177" s="6" t="s">
        <v>24</v>
      </c>
      <c r="E177" s="6" t="s">
        <v>14</v>
      </c>
      <c r="F177" s="6" t="s">
        <v>15</v>
      </c>
      <c r="G177" s="6">
        <v>7</v>
      </c>
      <c r="H177" s="8">
        <v>291.44</v>
      </c>
      <c r="I177" s="9">
        <v>0</v>
      </c>
      <c r="J177" s="8">
        <f t="shared" si="5"/>
        <v>2040.08</v>
      </c>
      <c r="K177" s="6" t="s">
        <v>26</v>
      </c>
    </row>
    <row r="178" spans="1:11" x14ac:dyDescent="0.35">
      <c r="A178" s="2" t="s">
        <v>218</v>
      </c>
      <c r="B178" s="3">
        <v>45636</v>
      </c>
      <c r="C178" s="2" t="s">
        <v>12</v>
      </c>
      <c r="D178" s="2" t="s">
        <v>13</v>
      </c>
      <c r="E178" s="2" t="s">
        <v>66</v>
      </c>
      <c r="F178" s="2" t="s">
        <v>57</v>
      </c>
      <c r="G178" s="2">
        <v>10</v>
      </c>
      <c r="H178" s="4">
        <v>386.92</v>
      </c>
      <c r="I178" s="5">
        <v>0</v>
      </c>
      <c r="J178" s="4">
        <f t="shared" si="5"/>
        <v>3869.2000000000003</v>
      </c>
      <c r="K178" s="2" t="s">
        <v>26</v>
      </c>
    </row>
    <row r="179" spans="1:11" x14ac:dyDescent="0.35">
      <c r="A179" s="6" t="s">
        <v>219</v>
      </c>
      <c r="B179" s="7">
        <v>45468</v>
      </c>
      <c r="C179" s="6" t="s">
        <v>62</v>
      </c>
      <c r="D179" s="6" t="s">
        <v>19</v>
      </c>
      <c r="E179" s="6" t="s">
        <v>51</v>
      </c>
      <c r="F179" s="6" t="s">
        <v>21</v>
      </c>
      <c r="G179" s="6">
        <v>2</v>
      </c>
      <c r="H179" s="8">
        <v>755.06</v>
      </c>
      <c r="I179" s="9">
        <v>15</v>
      </c>
      <c r="J179" s="8">
        <f t="shared" si="5"/>
        <v>1283.6019999999999</v>
      </c>
      <c r="K179" s="6" t="s">
        <v>46</v>
      </c>
    </row>
    <row r="180" spans="1:11" x14ac:dyDescent="0.35">
      <c r="A180" s="2" t="s">
        <v>220</v>
      </c>
      <c r="B180" s="3">
        <v>45767</v>
      </c>
      <c r="C180" s="2" t="s">
        <v>18</v>
      </c>
      <c r="D180" s="2" t="s">
        <v>34</v>
      </c>
      <c r="E180" s="2" t="s">
        <v>28</v>
      </c>
      <c r="F180" s="2" t="s">
        <v>29</v>
      </c>
      <c r="G180" s="2">
        <v>4</v>
      </c>
      <c r="H180" s="4">
        <v>1959.72</v>
      </c>
      <c r="I180" s="5">
        <v>0</v>
      </c>
      <c r="J180" s="4">
        <f t="shared" si="5"/>
        <v>7838.88</v>
      </c>
      <c r="K180" s="2" t="s">
        <v>26</v>
      </c>
    </row>
    <row r="181" spans="1:11" x14ac:dyDescent="0.35">
      <c r="A181" s="6" t="s">
        <v>221</v>
      </c>
      <c r="B181" s="7">
        <v>45692</v>
      </c>
      <c r="C181" s="6" t="s">
        <v>45</v>
      </c>
      <c r="D181" s="6" t="s">
        <v>24</v>
      </c>
      <c r="E181" s="6" t="s">
        <v>64</v>
      </c>
      <c r="F181" s="6" t="s">
        <v>15</v>
      </c>
      <c r="G181" s="6">
        <v>9</v>
      </c>
      <c r="H181" s="8">
        <v>362.71</v>
      </c>
      <c r="I181" s="9">
        <v>0</v>
      </c>
      <c r="J181" s="8">
        <f t="shared" si="5"/>
        <v>3264.39</v>
      </c>
      <c r="K181" s="6" t="s">
        <v>26</v>
      </c>
    </row>
    <row r="182" spans="1:11" x14ac:dyDescent="0.35">
      <c r="A182" s="2" t="s">
        <v>222</v>
      </c>
      <c r="B182" s="3">
        <v>45677</v>
      </c>
      <c r="C182" s="2" t="s">
        <v>33</v>
      </c>
      <c r="D182" s="2" t="s">
        <v>19</v>
      </c>
      <c r="E182" s="2" t="s">
        <v>14</v>
      </c>
      <c r="F182" s="2" t="s">
        <v>15</v>
      </c>
      <c r="G182" s="2">
        <v>5</v>
      </c>
      <c r="H182" s="4">
        <v>329.54</v>
      </c>
      <c r="I182" s="5">
        <v>20</v>
      </c>
      <c r="J182" s="4">
        <f t="shared" si="5"/>
        <v>1318.16</v>
      </c>
      <c r="K182" s="2" t="s">
        <v>26</v>
      </c>
    </row>
    <row r="183" spans="1:11" x14ac:dyDescent="0.35">
      <c r="A183" s="6" t="s">
        <v>223</v>
      </c>
      <c r="B183" s="7">
        <v>45545</v>
      </c>
      <c r="C183" s="6" t="s">
        <v>45</v>
      </c>
      <c r="D183" s="6" t="s">
        <v>19</v>
      </c>
      <c r="E183" s="6" t="s">
        <v>20</v>
      </c>
      <c r="F183" s="6" t="s">
        <v>21</v>
      </c>
      <c r="G183" s="6">
        <v>8</v>
      </c>
      <c r="H183" s="8">
        <v>3477.61</v>
      </c>
      <c r="I183" s="9">
        <v>0</v>
      </c>
      <c r="J183" s="8">
        <f t="shared" si="5"/>
        <v>27820.880000000001</v>
      </c>
      <c r="K183" s="6" t="s">
        <v>26</v>
      </c>
    </row>
    <row r="184" spans="1:11" x14ac:dyDescent="0.35">
      <c r="A184" s="2" t="s">
        <v>224</v>
      </c>
      <c r="B184" s="3">
        <v>45675</v>
      </c>
      <c r="C184" s="2" t="s">
        <v>12</v>
      </c>
      <c r="D184" s="2" t="s">
        <v>42</v>
      </c>
      <c r="E184" s="2" t="s">
        <v>56</v>
      </c>
      <c r="F184" s="2" t="s">
        <v>57</v>
      </c>
      <c r="G184" s="2">
        <v>9</v>
      </c>
      <c r="H184" s="4">
        <v>343.58</v>
      </c>
      <c r="I184" s="5">
        <v>20</v>
      </c>
      <c r="J184" s="4">
        <f t="shared" si="5"/>
        <v>2473.7759999999998</v>
      </c>
      <c r="K184" s="2" t="s">
        <v>26</v>
      </c>
    </row>
    <row r="185" spans="1:11" x14ac:dyDescent="0.35">
      <c r="A185" s="6" t="s">
        <v>225</v>
      </c>
      <c r="B185" s="7">
        <v>45364</v>
      </c>
      <c r="C185" s="6" t="s">
        <v>12</v>
      </c>
      <c r="D185" s="6" t="s">
        <v>19</v>
      </c>
      <c r="E185" s="6" t="s">
        <v>25</v>
      </c>
      <c r="F185" s="6" t="s">
        <v>21</v>
      </c>
      <c r="G185" s="6">
        <v>1</v>
      </c>
      <c r="H185" s="8">
        <v>527.77</v>
      </c>
      <c r="I185" s="9">
        <v>0</v>
      </c>
      <c r="J185" s="8">
        <f t="shared" si="5"/>
        <v>527.77</v>
      </c>
      <c r="K185" s="6" t="s">
        <v>26</v>
      </c>
    </row>
    <row r="186" spans="1:11" x14ac:dyDescent="0.35">
      <c r="A186" s="2" t="s">
        <v>226</v>
      </c>
      <c r="B186" s="3">
        <v>45707</v>
      </c>
      <c r="C186" s="2" t="s">
        <v>18</v>
      </c>
      <c r="D186" s="2" t="s">
        <v>34</v>
      </c>
      <c r="E186" s="2" t="s">
        <v>28</v>
      </c>
      <c r="F186" s="2" t="s">
        <v>29</v>
      </c>
      <c r="G186" s="2">
        <v>2</v>
      </c>
      <c r="H186" s="4">
        <v>1802.26</v>
      </c>
      <c r="I186" s="5">
        <v>0</v>
      </c>
      <c r="J186" s="4">
        <f t="shared" si="5"/>
        <v>3604.52</v>
      </c>
      <c r="K186" s="2" t="s">
        <v>26</v>
      </c>
    </row>
    <row r="187" spans="1:11" x14ac:dyDescent="0.35">
      <c r="A187" s="6" t="s">
        <v>227</v>
      </c>
      <c r="B187" s="7">
        <v>45743</v>
      </c>
      <c r="C187" s="6" t="s">
        <v>12</v>
      </c>
      <c r="D187" s="6" t="s">
        <v>13</v>
      </c>
      <c r="E187" s="6" t="s">
        <v>35</v>
      </c>
      <c r="F187" s="6" t="s">
        <v>21</v>
      </c>
      <c r="G187" s="6">
        <v>7</v>
      </c>
      <c r="H187" s="8">
        <v>1055.57</v>
      </c>
      <c r="I187" s="9">
        <v>0</v>
      </c>
      <c r="J187" s="8">
        <f t="shared" si="5"/>
        <v>7388.99</v>
      </c>
      <c r="K187" s="6" t="s">
        <v>46</v>
      </c>
    </row>
    <row r="188" spans="1:11" x14ac:dyDescent="0.35">
      <c r="A188" s="2" t="s">
        <v>228</v>
      </c>
      <c r="B188" s="3">
        <v>45674</v>
      </c>
      <c r="C188" s="2" t="s">
        <v>33</v>
      </c>
      <c r="D188" s="2" t="s">
        <v>34</v>
      </c>
      <c r="E188" s="2" t="s">
        <v>28</v>
      </c>
      <c r="F188" s="2" t="s">
        <v>29</v>
      </c>
      <c r="G188" s="2">
        <v>12</v>
      </c>
      <c r="H188" s="4">
        <v>1772.78</v>
      </c>
      <c r="I188" s="5">
        <v>0</v>
      </c>
      <c r="J188" s="4">
        <f t="shared" si="5"/>
        <v>21273.360000000001</v>
      </c>
      <c r="K188" s="2" t="s">
        <v>26</v>
      </c>
    </row>
    <row r="189" spans="1:11" x14ac:dyDescent="0.35">
      <c r="A189" s="6" t="s">
        <v>229</v>
      </c>
      <c r="B189" s="7">
        <v>45368</v>
      </c>
      <c r="C189" s="6" t="s">
        <v>12</v>
      </c>
      <c r="D189" s="6" t="s">
        <v>19</v>
      </c>
      <c r="E189" s="6" t="s">
        <v>56</v>
      </c>
      <c r="F189" s="6" t="s">
        <v>57</v>
      </c>
      <c r="G189" s="6">
        <v>9</v>
      </c>
      <c r="H189" s="8">
        <v>294.02999999999997</v>
      </c>
      <c r="I189" s="9">
        <v>20</v>
      </c>
      <c r="J189" s="8">
        <f t="shared" si="5"/>
        <v>2117.0159999999996</v>
      </c>
      <c r="K189" s="6" t="s">
        <v>26</v>
      </c>
    </row>
    <row r="190" spans="1:11" x14ac:dyDescent="0.35">
      <c r="A190" s="2" t="s">
        <v>230</v>
      </c>
      <c r="B190" s="3">
        <v>45650</v>
      </c>
      <c r="C190" s="2" t="s">
        <v>12</v>
      </c>
      <c r="D190" s="2" t="s">
        <v>42</v>
      </c>
      <c r="E190" s="2" t="s">
        <v>14</v>
      </c>
      <c r="F190" s="2" t="s">
        <v>15</v>
      </c>
      <c r="G190" s="2">
        <v>2</v>
      </c>
      <c r="H190" s="4">
        <v>271.62</v>
      </c>
      <c r="I190" s="5">
        <v>0</v>
      </c>
      <c r="J190" s="4">
        <f t="shared" si="5"/>
        <v>543.24</v>
      </c>
      <c r="K190" s="2" t="s">
        <v>26</v>
      </c>
    </row>
    <row r="191" spans="1:11" x14ac:dyDescent="0.35">
      <c r="A191" s="6" t="s">
        <v>231</v>
      </c>
      <c r="B191" s="7">
        <v>45437</v>
      </c>
      <c r="C191" s="6" t="s">
        <v>12</v>
      </c>
      <c r="D191" s="6" t="s">
        <v>19</v>
      </c>
      <c r="E191" s="6" t="s">
        <v>43</v>
      </c>
      <c r="F191" s="6" t="s">
        <v>15</v>
      </c>
      <c r="G191" s="6">
        <v>13</v>
      </c>
      <c r="H191" s="8">
        <v>401.66</v>
      </c>
      <c r="I191" s="9">
        <v>5</v>
      </c>
      <c r="J191" s="8">
        <f t="shared" si="5"/>
        <v>4960.5009999999993</v>
      </c>
      <c r="K191" s="6" t="s">
        <v>16</v>
      </c>
    </row>
    <row r="192" spans="1:11" x14ac:dyDescent="0.35">
      <c r="A192" s="2" t="s">
        <v>232</v>
      </c>
      <c r="B192" s="3">
        <v>45738</v>
      </c>
      <c r="C192" s="2" t="s">
        <v>62</v>
      </c>
      <c r="D192" s="2" t="s">
        <v>24</v>
      </c>
      <c r="E192" s="2" t="s">
        <v>31</v>
      </c>
      <c r="F192" s="2" t="s">
        <v>29</v>
      </c>
      <c r="G192" s="2">
        <v>14</v>
      </c>
      <c r="H192" s="4">
        <v>1371.29</v>
      </c>
      <c r="I192" s="5">
        <v>0</v>
      </c>
      <c r="J192" s="4">
        <f t="shared" si="5"/>
        <v>19198.059999999998</v>
      </c>
      <c r="K192" s="2" t="s">
        <v>26</v>
      </c>
    </row>
    <row r="193" spans="1:11" x14ac:dyDescent="0.35">
      <c r="A193" s="6" t="s">
        <v>233</v>
      </c>
      <c r="B193" s="7">
        <v>45719</v>
      </c>
      <c r="C193" s="6" t="s">
        <v>18</v>
      </c>
      <c r="D193" s="6" t="s">
        <v>34</v>
      </c>
      <c r="E193" s="6" t="s">
        <v>51</v>
      </c>
      <c r="F193" s="6" t="s">
        <v>21</v>
      </c>
      <c r="G193" s="6">
        <v>5</v>
      </c>
      <c r="H193" s="8">
        <v>857.28</v>
      </c>
      <c r="I193" s="9">
        <v>10</v>
      </c>
      <c r="J193" s="8">
        <f t="shared" si="5"/>
        <v>3857.7599999999998</v>
      </c>
      <c r="K193" s="6" t="s">
        <v>26</v>
      </c>
    </row>
    <row r="194" spans="1:11" x14ac:dyDescent="0.35">
      <c r="A194" s="2" t="s">
        <v>234</v>
      </c>
      <c r="B194" s="3">
        <v>45643</v>
      </c>
      <c r="C194" s="2" t="s">
        <v>33</v>
      </c>
      <c r="D194" s="2" t="s">
        <v>13</v>
      </c>
      <c r="E194" s="2" t="s">
        <v>64</v>
      </c>
      <c r="F194" s="2" t="s">
        <v>15</v>
      </c>
      <c r="G194" s="2">
        <v>8</v>
      </c>
      <c r="H194" s="4">
        <v>309.2</v>
      </c>
      <c r="I194" s="5">
        <v>0</v>
      </c>
      <c r="J194" s="4">
        <f t="shared" ref="J194:J201" si="6">G194*H194*(1-I194/100)</f>
        <v>2473.6</v>
      </c>
      <c r="K194" s="2" t="s">
        <v>26</v>
      </c>
    </row>
    <row r="195" spans="1:11" x14ac:dyDescent="0.35">
      <c r="A195" s="6" t="s">
        <v>235</v>
      </c>
      <c r="B195" s="7">
        <v>45372</v>
      </c>
      <c r="C195" s="6" t="s">
        <v>33</v>
      </c>
      <c r="D195" s="6" t="s">
        <v>24</v>
      </c>
      <c r="E195" s="6" t="s">
        <v>66</v>
      </c>
      <c r="F195" s="6" t="s">
        <v>57</v>
      </c>
      <c r="G195" s="6">
        <v>9</v>
      </c>
      <c r="H195" s="8">
        <v>418.37</v>
      </c>
      <c r="I195" s="9">
        <v>10</v>
      </c>
      <c r="J195" s="8">
        <f t="shared" si="6"/>
        <v>3388.797</v>
      </c>
      <c r="K195" s="6" t="s">
        <v>16</v>
      </c>
    </row>
    <row r="196" spans="1:11" x14ac:dyDescent="0.35">
      <c r="A196" s="2" t="s">
        <v>236</v>
      </c>
      <c r="B196" s="3">
        <v>45337</v>
      </c>
      <c r="C196" s="2" t="s">
        <v>62</v>
      </c>
      <c r="D196" s="2" t="s">
        <v>42</v>
      </c>
      <c r="E196" s="2" t="s">
        <v>31</v>
      </c>
      <c r="F196" s="2" t="s">
        <v>29</v>
      </c>
      <c r="G196" s="2">
        <v>10</v>
      </c>
      <c r="H196" s="4">
        <v>1222.69</v>
      </c>
      <c r="I196" s="5">
        <v>0</v>
      </c>
      <c r="J196" s="4">
        <f t="shared" si="6"/>
        <v>12226.900000000001</v>
      </c>
      <c r="K196" s="2" t="s">
        <v>26</v>
      </c>
    </row>
    <row r="197" spans="1:11" x14ac:dyDescent="0.35">
      <c r="A197" s="6" t="s">
        <v>237</v>
      </c>
      <c r="B197" s="7">
        <v>45720</v>
      </c>
      <c r="C197" s="6" t="s">
        <v>45</v>
      </c>
      <c r="D197" s="6" t="s">
        <v>19</v>
      </c>
      <c r="E197" s="6" t="s">
        <v>56</v>
      </c>
      <c r="F197" s="6" t="s">
        <v>57</v>
      </c>
      <c r="G197" s="6">
        <v>11</v>
      </c>
      <c r="H197" s="8">
        <v>292.37</v>
      </c>
      <c r="I197" s="9">
        <v>0</v>
      </c>
      <c r="J197" s="8">
        <f t="shared" si="6"/>
        <v>3216.07</v>
      </c>
      <c r="K197" s="6" t="s">
        <v>46</v>
      </c>
    </row>
    <row r="198" spans="1:11" x14ac:dyDescent="0.35">
      <c r="A198" s="2" t="s">
        <v>238</v>
      </c>
      <c r="B198" s="3">
        <v>45733</v>
      </c>
      <c r="C198" s="2" t="s">
        <v>62</v>
      </c>
      <c r="D198" s="2" t="s">
        <v>24</v>
      </c>
      <c r="E198" s="2" t="s">
        <v>43</v>
      </c>
      <c r="F198" s="2" t="s">
        <v>15</v>
      </c>
      <c r="G198" s="2">
        <v>6</v>
      </c>
      <c r="H198" s="4">
        <v>377.42</v>
      </c>
      <c r="I198" s="5">
        <v>0</v>
      </c>
      <c r="J198" s="4">
        <f t="shared" si="6"/>
        <v>2264.52</v>
      </c>
      <c r="K198" s="2" t="s">
        <v>46</v>
      </c>
    </row>
    <row r="199" spans="1:11" x14ac:dyDescent="0.35">
      <c r="A199" s="6" t="s">
        <v>239</v>
      </c>
      <c r="B199" s="7">
        <v>45713</v>
      </c>
      <c r="C199" s="6" t="s">
        <v>45</v>
      </c>
      <c r="D199" s="6" t="s">
        <v>24</v>
      </c>
      <c r="E199" s="6" t="s">
        <v>20</v>
      </c>
      <c r="F199" s="6" t="s">
        <v>21</v>
      </c>
      <c r="G199" s="6">
        <v>13</v>
      </c>
      <c r="H199" s="8">
        <v>3384.71</v>
      </c>
      <c r="I199" s="9">
        <v>0</v>
      </c>
      <c r="J199" s="8">
        <f t="shared" si="6"/>
        <v>44001.23</v>
      </c>
      <c r="K199" s="6" t="s">
        <v>26</v>
      </c>
    </row>
    <row r="200" spans="1:11" x14ac:dyDescent="0.35">
      <c r="A200" s="2" t="s">
        <v>240</v>
      </c>
      <c r="B200" s="3">
        <v>45600</v>
      </c>
      <c r="C200" s="2" t="s">
        <v>62</v>
      </c>
      <c r="D200" s="2" t="s">
        <v>34</v>
      </c>
      <c r="E200" s="2" t="s">
        <v>28</v>
      </c>
      <c r="F200" s="2" t="s">
        <v>29</v>
      </c>
      <c r="G200" s="2">
        <v>5</v>
      </c>
      <c r="H200" s="4">
        <v>1945.68</v>
      </c>
      <c r="I200" s="5">
        <v>15</v>
      </c>
      <c r="J200" s="4">
        <f t="shared" si="6"/>
        <v>8269.14</v>
      </c>
      <c r="K200" s="2" t="s">
        <v>16</v>
      </c>
    </row>
    <row r="201" spans="1:11" x14ac:dyDescent="0.35">
      <c r="A201" s="6" t="s">
        <v>241</v>
      </c>
      <c r="B201" s="7">
        <v>45423</v>
      </c>
      <c r="C201" s="6" t="s">
        <v>33</v>
      </c>
      <c r="D201" s="6" t="s">
        <v>24</v>
      </c>
      <c r="E201" s="6" t="s">
        <v>51</v>
      </c>
      <c r="F201" s="6" t="s">
        <v>21</v>
      </c>
      <c r="G201" s="6">
        <v>3</v>
      </c>
      <c r="H201" s="8">
        <v>880.77</v>
      </c>
      <c r="I201" s="9">
        <v>0</v>
      </c>
      <c r="J201" s="8">
        <f t="shared" si="6"/>
        <v>2642.31</v>
      </c>
      <c r="K201" s="6" t="s">
        <v>46</v>
      </c>
    </row>
  </sheetData>
  <autoFilter ref="A1:K201" xr:uid="{00000000-0009-0000-0000-000000000000}"/>
  <conditionalFormatting sqref="A2:K201">
    <cfRule type="expression" dxfId="13" priority="1">
      <formula>$K2="Pendente"</formula>
    </cfRule>
    <cfRule type="expression" dxfId="12" priority="4">
      <formula>$K2="Concluído"</formula>
    </cfRule>
    <cfRule type="expression" dxfId="11" priority="5">
      <formula>$K2="Cancelado"</formula>
    </cfRule>
  </conditionalFormatting>
  <dataValidations count="1">
    <dataValidation type="list" allowBlank="1" showInputMessage="1" showErrorMessage="1" errorTitle="Dado Incorreto" error="O tipo de informação escrita é diferente das informações permitidas" sqref="K1:K1048576" xr:uid="{B261BFA3-C209-4B12-B1F9-D90CCB6E4071}">
      <formula1>"Concluído,Pendente,Cancelado"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72F62-75EF-4282-8D37-334ED071AB78}">
  <dimension ref="A1:Q19"/>
  <sheetViews>
    <sheetView showGridLines="0" zoomScale="77" zoomScaleNormal="85" workbookViewId="0">
      <selection activeCell="H21" sqref="H21"/>
    </sheetView>
  </sheetViews>
  <sheetFormatPr defaultRowHeight="14.5" x14ac:dyDescent="0.35"/>
  <cols>
    <col min="1" max="1" width="17.90625" bestFit="1" customWidth="1"/>
    <col min="2" max="2" width="19.1796875" bestFit="1" customWidth="1"/>
    <col min="3" max="3" width="10.81640625" bestFit="1" customWidth="1"/>
    <col min="4" max="4" width="15.08984375" bestFit="1" customWidth="1"/>
    <col min="5" max="5" width="10.81640625" bestFit="1" customWidth="1"/>
    <col min="6" max="6" width="13.26953125" bestFit="1" customWidth="1"/>
    <col min="7" max="7" width="10.81640625" bestFit="1" customWidth="1"/>
    <col min="8" max="8" width="13.26953125" bestFit="1" customWidth="1"/>
    <col min="9" max="9" width="15.6328125" customWidth="1"/>
    <col min="10" max="10" width="13.26953125" bestFit="1" customWidth="1"/>
    <col min="11" max="11" width="10.81640625" bestFit="1" customWidth="1"/>
    <col min="12" max="12" width="15.08984375" bestFit="1" customWidth="1"/>
    <col min="13" max="13" width="15.54296875" bestFit="1" customWidth="1"/>
    <col min="14" max="15" width="16.81640625" bestFit="1" customWidth="1"/>
    <col min="16" max="16" width="9.6328125" bestFit="1" customWidth="1"/>
    <col min="17" max="17" width="24.26953125" bestFit="1" customWidth="1"/>
    <col min="18" max="18" width="21.54296875" bestFit="1" customWidth="1"/>
    <col min="19" max="19" width="16.453125" bestFit="1" customWidth="1"/>
    <col min="20" max="20" width="11.6328125" bestFit="1" customWidth="1"/>
    <col min="21" max="21" width="21.26953125" bestFit="1" customWidth="1"/>
    <col min="22" max="22" width="16.6328125" bestFit="1" customWidth="1"/>
    <col min="23" max="23" width="19.453125" bestFit="1" customWidth="1"/>
    <col min="24" max="24" width="19.7265625" bestFit="1" customWidth="1"/>
    <col min="25" max="25" width="11.6328125" bestFit="1" customWidth="1"/>
    <col min="26" max="26" width="21.26953125" bestFit="1" customWidth="1"/>
    <col min="27" max="27" width="21.54296875" bestFit="1" customWidth="1"/>
    <col min="28" max="28" width="24.26953125" bestFit="1" customWidth="1"/>
    <col min="29" max="29" width="24.54296875" bestFit="1" customWidth="1"/>
    <col min="30" max="30" width="16.453125" bestFit="1" customWidth="1"/>
    <col min="31" max="31" width="26.08984375" bestFit="1" customWidth="1"/>
    <col min="32" max="55" width="21.26953125" bestFit="1" customWidth="1"/>
    <col min="56" max="56" width="25" bestFit="1" customWidth="1"/>
    <col min="57" max="57" width="27.81640625" bestFit="1" customWidth="1"/>
    <col min="58" max="58" width="28.08984375" bestFit="1" customWidth="1"/>
    <col min="59" max="59" width="20" bestFit="1" customWidth="1"/>
    <col min="60" max="60" width="29.6328125" bestFit="1" customWidth="1"/>
    <col min="61" max="85" width="21.26953125" bestFit="1" customWidth="1"/>
    <col min="86" max="86" width="22.08984375" bestFit="1" customWidth="1"/>
    <col min="87" max="87" width="24.81640625" bestFit="1" customWidth="1"/>
    <col min="88" max="88" width="25.1796875" bestFit="1" customWidth="1"/>
    <col min="89" max="89" width="17.08984375" bestFit="1" customWidth="1"/>
    <col min="90" max="90" width="26.6328125" bestFit="1" customWidth="1"/>
    <col min="91" max="115" width="21.26953125" bestFit="1" customWidth="1"/>
    <col min="116" max="116" width="23.90625" bestFit="1" customWidth="1"/>
    <col min="117" max="117" width="26.7265625" bestFit="1" customWidth="1"/>
    <col min="118" max="118" width="27" bestFit="1" customWidth="1"/>
    <col min="119" max="119" width="18.90625" bestFit="1" customWidth="1"/>
    <col min="120" max="120" width="28.453125" bestFit="1" customWidth="1"/>
    <col min="121" max="145" width="21.26953125" bestFit="1" customWidth="1"/>
    <col min="146" max="146" width="19.6328125" bestFit="1" customWidth="1"/>
    <col min="147" max="147" width="22.453125" bestFit="1" customWidth="1"/>
    <col min="148" max="148" width="22.7265625" bestFit="1" customWidth="1"/>
    <col min="149" max="149" width="14.6328125" bestFit="1" customWidth="1"/>
    <col min="150" max="150" width="24.1796875" bestFit="1" customWidth="1"/>
    <col min="151" max="151" width="21.54296875" bestFit="1" customWidth="1"/>
    <col min="152" max="152" width="24.26953125" bestFit="1" customWidth="1"/>
    <col min="153" max="153" width="24.54296875" bestFit="1" customWidth="1"/>
    <col min="154" max="154" width="16.453125" bestFit="1" customWidth="1"/>
    <col min="155" max="155" width="26.08984375" bestFit="1" customWidth="1"/>
  </cols>
  <sheetData>
    <row r="1" spans="1:17" ht="23.5" x14ac:dyDescent="0.55000000000000004">
      <c r="A1" s="46" t="s">
        <v>276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7" s="28" customFormat="1" x14ac:dyDescent="0.35">
      <c r="A2" s="27"/>
      <c r="B2" s="27" t="s">
        <v>244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Q2"/>
    </row>
    <row r="3" spans="1:17" s="28" customFormat="1" x14ac:dyDescent="0.35">
      <c r="A3" s="29"/>
      <c r="B3" s="29" t="s">
        <v>40</v>
      </c>
      <c r="C3" s="29"/>
      <c r="D3" s="29" t="s">
        <v>57</v>
      </c>
      <c r="E3" s="29"/>
      <c r="F3" s="29" t="s">
        <v>21</v>
      </c>
      <c r="G3" s="29"/>
      <c r="H3" s="29" t="s">
        <v>29</v>
      </c>
      <c r="I3" s="29"/>
      <c r="J3" s="29" t="s">
        <v>15</v>
      </c>
      <c r="K3" s="29"/>
      <c r="L3" s="29" t="s">
        <v>247</v>
      </c>
      <c r="M3" s="29" t="s">
        <v>245</v>
      </c>
    </row>
    <row r="4" spans="1:17" s="28" customFormat="1" x14ac:dyDescent="0.35">
      <c r="A4" s="29" t="s">
        <v>242</v>
      </c>
      <c r="B4" s="29" t="s">
        <v>248</v>
      </c>
      <c r="C4" s="29" t="s">
        <v>246</v>
      </c>
      <c r="D4" s="29" t="s">
        <v>248</v>
      </c>
      <c r="E4" s="29" t="s">
        <v>246</v>
      </c>
      <c r="F4" s="29" t="s">
        <v>248</v>
      </c>
      <c r="G4" s="29" t="s">
        <v>246</v>
      </c>
      <c r="H4" s="29" t="s">
        <v>248</v>
      </c>
      <c r="I4" s="29" t="s">
        <v>246</v>
      </c>
      <c r="J4" s="29" t="s">
        <v>248</v>
      </c>
      <c r="K4" s="29" t="s">
        <v>246</v>
      </c>
      <c r="L4" s="29"/>
      <c r="M4" s="29"/>
      <c r="Q4" s="28" t="s">
        <v>278</v>
      </c>
    </row>
    <row r="5" spans="1:17" x14ac:dyDescent="0.35">
      <c r="A5" s="22" t="s">
        <v>34</v>
      </c>
      <c r="B5" s="23">
        <v>707.22749999999996</v>
      </c>
      <c r="C5" s="33">
        <v>15</v>
      </c>
      <c r="D5" s="23">
        <v>17809.012499999997</v>
      </c>
      <c r="E5" s="33">
        <v>50</v>
      </c>
      <c r="F5" s="23">
        <v>101810.14849999998</v>
      </c>
      <c r="G5" s="33">
        <v>76</v>
      </c>
      <c r="H5" s="23">
        <v>114364.62250000001</v>
      </c>
      <c r="I5" s="33">
        <v>74</v>
      </c>
      <c r="J5" s="23">
        <v>28914.015500000001</v>
      </c>
      <c r="K5" s="33">
        <v>100</v>
      </c>
      <c r="L5" s="23">
        <v>263605.02649999998</v>
      </c>
      <c r="M5" s="33">
        <v>315</v>
      </c>
    </row>
    <row r="6" spans="1:17" x14ac:dyDescent="0.35">
      <c r="A6" s="22" t="s">
        <v>24</v>
      </c>
      <c r="B6" s="23">
        <v>1551.9</v>
      </c>
      <c r="C6" s="33">
        <v>36</v>
      </c>
      <c r="D6" s="23">
        <v>12736.994000000001</v>
      </c>
      <c r="E6" s="33">
        <v>38</v>
      </c>
      <c r="F6" s="23">
        <v>271739.38049999997</v>
      </c>
      <c r="G6" s="33">
        <v>152</v>
      </c>
      <c r="H6" s="23">
        <v>93017.861000000004</v>
      </c>
      <c r="I6" s="33">
        <v>62</v>
      </c>
      <c r="J6" s="23">
        <v>25936.605</v>
      </c>
      <c r="K6" s="33">
        <v>85</v>
      </c>
      <c r="L6" s="23">
        <v>404982.74049999996</v>
      </c>
      <c r="M6" s="33">
        <v>373</v>
      </c>
    </row>
    <row r="7" spans="1:17" x14ac:dyDescent="0.35">
      <c r="A7" s="22" t="s">
        <v>19</v>
      </c>
      <c r="B7" s="23">
        <v>115.03049999999999</v>
      </c>
      <c r="C7" s="33">
        <v>3</v>
      </c>
      <c r="D7" s="23">
        <v>20261.006000000001</v>
      </c>
      <c r="E7" s="33">
        <v>54</v>
      </c>
      <c r="F7" s="23">
        <v>187471.11800000002</v>
      </c>
      <c r="G7" s="33">
        <v>122</v>
      </c>
      <c r="H7" s="23">
        <v>64744.1</v>
      </c>
      <c r="I7" s="33">
        <v>48</v>
      </c>
      <c r="J7" s="23">
        <v>16514.506999999998</v>
      </c>
      <c r="K7" s="33">
        <v>53</v>
      </c>
      <c r="L7" s="23">
        <v>289105.76149999996</v>
      </c>
      <c r="M7" s="33">
        <v>280</v>
      </c>
    </row>
    <row r="8" spans="1:17" x14ac:dyDescent="0.35">
      <c r="A8" s="22" t="s">
        <v>13</v>
      </c>
      <c r="B8" s="23">
        <v>1159.2749999999999</v>
      </c>
      <c r="C8" s="33">
        <v>25</v>
      </c>
      <c r="D8" s="23">
        <v>24650.724000000002</v>
      </c>
      <c r="E8" s="33">
        <v>63</v>
      </c>
      <c r="F8" s="23">
        <v>75135.329000000012</v>
      </c>
      <c r="G8" s="33">
        <v>71</v>
      </c>
      <c r="H8" s="23">
        <v>52069.925000000003</v>
      </c>
      <c r="I8" s="33">
        <v>31</v>
      </c>
      <c r="J8" s="23">
        <v>24047.557000000001</v>
      </c>
      <c r="K8" s="33">
        <v>79</v>
      </c>
      <c r="L8" s="23">
        <v>177062.81000000003</v>
      </c>
      <c r="M8" s="33">
        <v>269</v>
      </c>
    </row>
    <row r="9" spans="1:17" x14ac:dyDescent="0.35">
      <c r="A9" s="22" t="s">
        <v>42</v>
      </c>
      <c r="B9" s="23">
        <v>818.14</v>
      </c>
      <c r="C9" s="33">
        <v>19</v>
      </c>
      <c r="D9" s="23">
        <v>26749.057000000001</v>
      </c>
      <c r="E9" s="33">
        <v>75</v>
      </c>
      <c r="F9" s="23">
        <v>79993.300999999992</v>
      </c>
      <c r="G9" s="33">
        <v>104</v>
      </c>
      <c r="H9" s="23">
        <v>63678.330999999998</v>
      </c>
      <c r="I9" s="33">
        <v>45</v>
      </c>
      <c r="J9" s="23">
        <v>27387.702499999999</v>
      </c>
      <c r="K9" s="33">
        <v>84</v>
      </c>
      <c r="L9" s="23">
        <v>198626.53149999998</v>
      </c>
      <c r="M9" s="33">
        <v>327</v>
      </c>
    </row>
    <row r="10" spans="1:17" x14ac:dyDescent="0.35">
      <c r="A10" s="30" t="s">
        <v>243</v>
      </c>
      <c r="B10" s="31">
        <v>4351.5730000000003</v>
      </c>
      <c r="C10" s="29">
        <v>98</v>
      </c>
      <c r="D10" s="31">
        <v>102206.7935</v>
      </c>
      <c r="E10" s="29">
        <v>280</v>
      </c>
      <c r="F10" s="31">
        <v>716149.277</v>
      </c>
      <c r="G10" s="29">
        <v>525</v>
      </c>
      <c r="H10" s="31">
        <v>387874.8395</v>
      </c>
      <c r="I10" s="29">
        <v>260</v>
      </c>
      <c r="J10" s="31">
        <v>122800.387</v>
      </c>
      <c r="K10" s="29">
        <v>401</v>
      </c>
      <c r="L10" s="31">
        <v>1333382.8700000001</v>
      </c>
      <c r="M10" s="29">
        <v>1564</v>
      </c>
    </row>
    <row r="12" spans="1:17" ht="21" x14ac:dyDescent="0.5">
      <c r="A12" s="47" t="s">
        <v>275</v>
      </c>
      <c r="B12" s="47"/>
      <c r="C12" s="47"/>
      <c r="G12" s="45" t="s">
        <v>277</v>
      </c>
      <c r="H12" s="45"/>
      <c r="I12" s="45"/>
    </row>
    <row r="13" spans="1:17" x14ac:dyDescent="0.35">
      <c r="A13" s="29" t="s">
        <v>242</v>
      </c>
      <c r="B13" s="32" t="s">
        <v>248</v>
      </c>
      <c r="C13" s="32" t="s">
        <v>251</v>
      </c>
      <c r="G13" s="27" t="s">
        <v>242</v>
      </c>
      <c r="H13" s="27" t="s">
        <v>251</v>
      </c>
      <c r="I13" s="27" t="s">
        <v>248</v>
      </c>
    </row>
    <row r="14" spans="1:17" x14ac:dyDescent="0.35">
      <c r="A14" s="22" t="s">
        <v>33</v>
      </c>
      <c r="B14" s="23">
        <v>318416.42299999995</v>
      </c>
      <c r="C14" s="33">
        <v>305</v>
      </c>
      <c r="G14" s="13" t="s">
        <v>249</v>
      </c>
      <c r="H14">
        <v>962</v>
      </c>
      <c r="I14" s="14">
        <v>720156.58549999958</v>
      </c>
    </row>
    <row r="15" spans="1:17" x14ac:dyDescent="0.35">
      <c r="A15" s="22" t="s">
        <v>12</v>
      </c>
      <c r="B15" s="23">
        <v>260929.61900000004</v>
      </c>
      <c r="C15" s="33">
        <v>319</v>
      </c>
      <c r="G15" s="13" t="s">
        <v>250</v>
      </c>
      <c r="H15">
        <v>602</v>
      </c>
      <c r="I15" s="14">
        <v>613226.28449999995</v>
      </c>
    </row>
    <row r="16" spans="1:17" x14ac:dyDescent="0.35">
      <c r="A16" s="22" t="s">
        <v>18</v>
      </c>
      <c r="B16" s="23">
        <v>225899.90200000006</v>
      </c>
      <c r="C16" s="33">
        <v>297</v>
      </c>
    </row>
    <row r="17" spans="1:3" x14ac:dyDescent="0.35">
      <c r="A17" s="22" t="s">
        <v>62</v>
      </c>
      <c r="B17" s="23">
        <v>191125.75900000002</v>
      </c>
      <c r="C17" s="33">
        <v>208</v>
      </c>
    </row>
    <row r="18" spans="1:3" x14ac:dyDescent="0.35">
      <c r="A18" s="22" t="s">
        <v>45</v>
      </c>
      <c r="B18" s="23">
        <v>188663.66150000005</v>
      </c>
      <c r="C18" s="33">
        <v>240</v>
      </c>
    </row>
    <row r="19" spans="1:3" x14ac:dyDescent="0.35">
      <c r="A19" s="22" t="s">
        <v>23</v>
      </c>
      <c r="B19" s="23">
        <v>148347.5055</v>
      </c>
      <c r="C19" s="33">
        <v>195</v>
      </c>
    </row>
  </sheetData>
  <sortState xmlns:xlrd2="http://schemas.microsoft.com/office/spreadsheetml/2017/richdata2" ref="A13:C19">
    <sortCondition descending="1" ref="B13"/>
  </sortState>
  <mergeCells count="3">
    <mergeCell ref="G12:I12"/>
    <mergeCell ref="A1:M1"/>
    <mergeCell ref="A12:C12"/>
  </mergeCells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F78B8-9A1F-4552-94F5-C3CAD8393EEA}">
  <dimension ref="A1:Y26"/>
  <sheetViews>
    <sheetView showGridLines="0" zoomScale="44" zoomScaleNormal="40" workbookViewId="0">
      <selection activeCell="X9" sqref="X9"/>
    </sheetView>
  </sheetViews>
  <sheetFormatPr defaultRowHeight="14.5" x14ac:dyDescent="0.35"/>
  <cols>
    <col min="2" max="2" width="15.08984375" customWidth="1"/>
    <col min="3" max="3" width="20.08984375" bestFit="1" customWidth="1"/>
    <col min="4" max="4" width="17.26953125" bestFit="1" customWidth="1"/>
    <col min="5" max="5" width="14.6328125" hidden="1" customWidth="1"/>
    <col min="6" max="6" width="16.36328125" hidden="1" customWidth="1"/>
    <col min="7" max="7" width="25.08984375" customWidth="1"/>
    <col min="8" max="8" width="16.26953125" customWidth="1"/>
    <col min="9" max="9" width="13.90625" hidden="1" customWidth="1"/>
    <col min="10" max="10" width="12.81640625" hidden="1" customWidth="1"/>
    <col min="11" max="11" width="17.7265625" hidden="1" customWidth="1"/>
    <col min="12" max="12" width="8.453125" customWidth="1"/>
    <col min="13" max="13" width="22.81640625" hidden="1" customWidth="1"/>
    <col min="14" max="14" width="23.90625" hidden="1" customWidth="1"/>
    <col min="15" max="15" width="31.36328125" customWidth="1"/>
    <col min="16" max="16" width="17.26953125" customWidth="1"/>
    <col min="17" max="17" width="18" hidden="1" customWidth="1"/>
    <col min="18" max="18" width="19.453125" hidden="1" customWidth="1"/>
    <col min="19" max="19" width="6.90625" hidden="1" customWidth="1"/>
    <col min="20" max="20" width="34.453125" customWidth="1"/>
    <col min="21" max="21" width="18.1796875" customWidth="1"/>
    <col min="22" max="22" width="26.26953125" customWidth="1"/>
    <col min="23" max="23" width="18.453125" bestFit="1" customWidth="1"/>
    <col min="24" max="25" width="11.36328125" bestFit="1" customWidth="1"/>
    <col min="26" max="26" width="12.36328125" bestFit="1" customWidth="1"/>
    <col min="27" max="27" width="11.36328125" bestFit="1" customWidth="1"/>
    <col min="28" max="28" width="12.7265625" customWidth="1"/>
    <col min="29" max="29" width="11.36328125" bestFit="1" customWidth="1"/>
  </cols>
  <sheetData>
    <row r="1" spans="1:25" x14ac:dyDescent="0.35">
      <c r="A1" s="52" t="s">
        <v>255</v>
      </c>
      <c r="B1" s="52"/>
      <c r="D1" s="52" t="s">
        <v>256</v>
      </c>
      <c r="E1" s="52"/>
      <c r="F1" s="52"/>
      <c r="I1" t="s">
        <v>33</v>
      </c>
      <c r="M1" s="6" t="s">
        <v>43</v>
      </c>
      <c r="N1">
        <v>8</v>
      </c>
    </row>
    <row r="2" spans="1:25" ht="20" x14ac:dyDescent="0.4">
      <c r="A2" s="15" t="s">
        <v>252</v>
      </c>
      <c r="B2" s="21" t="s">
        <v>241</v>
      </c>
      <c r="D2" s="51" t="s">
        <v>254</v>
      </c>
      <c r="E2" s="51"/>
      <c r="F2" s="17" t="s">
        <v>18</v>
      </c>
      <c r="I2" t="s">
        <v>12</v>
      </c>
      <c r="J2" t="s">
        <v>13</v>
      </c>
      <c r="K2" t="s">
        <v>15</v>
      </c>
      <c r="M2" s="2" t="s">
        <v>25</v>
      </c>
      <c r="N2">
        <v>10</v>
      </c>
      <c r="U2" s="48" t="s">
        <v>256</v>
      </c>
      <c r="V2" s="48"/>
      <c r="W2" s="48"/>
    </row>
    <row r="3" spans="1:25" ht="23" x14ac:dyDescent="0.5">
      <c r="A3" s="15" t="s">
        <v>4</v>
      </c>
      <c r="B3" s="17" t="str">
        <f>VLOOKUP($B$2,'Base de Dados'!$A$2:$K$201,5,0)</f>
        <v>Impressora HP</v>
      </c>
      <c r="D3" s="15" t="s">
        <v>3</v>
      </c>
      <c r="E3" s="15" t="s">
        <v>5</v>
      </c>
      <c r="F3" s="15" t="s">
        <v>9</v>
      </c>
      <c r="I3" t="s">
        <v>18</v>
      </c>
      <c r="J3" t="s">
        <v>19</v>
      </c>
      <c r="K3" t="s">
        <v>21</v>
      </c>
      <c r="M3" s="2" t="s">
        <v>31</v>
      </c>
      <c r="N3">
        <v>12</v>
      </c>
      <c r="Q3" s="12" t="s">
        <v>272</v>
      </c>
      <c r="R3" s="12" t="s">
        <v>244</v>
      </c>
      <c r="U3" s="49" t="s">
        <v>254</v>
      </c>
      <c r="V3" s="49"/>
      <c r="W3" s="60" t="s">
        <v>18</v>
      </c>
      <c r="Y3" s="59"/>
    </row>
    <row r="4" spans="1:25" ht="20" x14ac:dyDescent="0.4">
      <c r="A4" s="18" t="s">
        <v>5</v>
      </c>
      <c r="B4" s="17" t="str">
        <f>VLOOKUP($B$2,'Base de Dados'!$A$2:$K$201,6,0)</f>
        <v>Eletrônicos</v>
      </c>
      <c r="D4" s="16" t="s">
        <v>13</v>
      </c>
      <c r="E4" s="16" t="s">
        <v>15</v>
      </c>
      <c r="F4" s="20">
        <f>SUMIFS('Base de Dados'!$J$2:$J$1048576,'Base de Dados'!$F$2:$F$1048576,'Consultas x Gráficos'!E4,'Base de Dados'!$D$2:$D$1048576,'Consultas x Gráficos'!D4,'Base de Dados'!$C$2:$C$1048576,'Consultas x Gráficos'!$F$2)</f>
        <v>3797.87</v>
      </c>
      <c r="I4" t="s">
        <v>23</v>
      </c>
      <c r="J4" t="s">
        <v>24</v>
      </c>
      <c r="K4" t="s">
        <v>29</v>
      </c>
      <c r="M4" s="2" t="s">
        <v>39</v>
      </c>
      <c r="N4">
        <v>13</v>
      </c>
      <c r="Q4" s="12" t="s">
        <v>242</v>
      </c>
      <c r="R4" t="s">
        <v>249</v>
      </c>
      <c r="S4" t="s">
        <v>250</v>
      </c>
      <c r="U4" s="39" t="s">
        <v>3</v>
      </c>
      <c r="V4" s="39" t="s">
        <v>9</v>
      </c>
      <c r="W4" s="40"/>
    </row>
    <row r="5" spans="1:25" ht="20" x14ac:dyDescent="0.4">
      <c r="A5" s="18" t="s">
        <v>2</v>
      </c>
      <c r="B5" s="17" t="str">
        <f>VLOOKUP($B$2,'Base de Dados'!$A$2:$K$201,3,0)</f>
        <v>Ana Lima</v>
      </c>
      <c r="D5" s="16" t="s">
        <v>19</v>
      </c>
      <c r="E5" s="16" t="s">
        <v>21</v>
      </c>
      <c r="F5" s="20">
        <f>SUMIFS('Base de Dados'!$J$2:$J$1048576,'Base de Dados'!$F$2:$F$1048576,'Consultas x Gráficos'!E5,'Base de Dados'!$D$2:$D$1048576,'Consultas x Gráficos'!D5,'Base de Dados'!$C$2:$C$1048576,'Consultas x Gráficos'!$F$2)</f>
        <v>30428.613000000001</v>
      </c>
      <c r="I5" t="s">
        <v>62</v>
      </c>
      <c r="J5" t="s">
        <v>34</v>
      </c>
      <c r="K5" t="s">
        <v>40</v>
      </c>
      <c r="M5" s="2" t="s">
        <v>56</v>
      </c>
      <c r="N5">
        <v>14</v>
      </c>
      <c r="Q5" s="13" t="s">
        <v>260</v>
      </c>
      <c r="R5" s="14">
        <v>18042.279500000001</v>
      </c>
      <c r="S5" s="14">
        <v>45116.188999999998</v>
      </c>
      <c r="U5" s="36" t="s">
        <v>13</v>
      </c>
      <c r="V5" s="34">
        <f>SUMIFS('Base de Dados'!J:J,'Base de Dados'!D:D,'Consultas x Gráficos'!U5,'Base de Dados'!C:C,'Consultas x Gráficos'!$W$3)</f>
        <v>81775.630999999994</v>
      </c>
      <c r="W5" s="40"/>
    </row>
    <row r="6" spans="1:25" ht="20" x14ac:dyDescent="0.4">
      <c r="A6" s="15" t="s">
        <v>3</v>
      </c>
      <c r="B6" s="17" t="str">
        <f>VLOOKUP($B$2,'Base de Dados'!$A$2:$K$201,4,0)</f>
        <v>Nordeste</v>
      </c>
      <c r="D6" s="16" t="s">
        <v>24</v>
      </c>
      <c r="E6" s="16" t="s">
        <v>29</v>
      </c>
      <c r="F6" s="20">
        <f>SUMIFS('Base de Dados'!$J$2:$J$1048576,'Base de Dados'!$F$2:$F$1048576,'Consultas x Gráficos'!E6,'Base de Dados'!$D$2:$D$1048576,'Consultas x Gráficos'!D6,'Base de Dados'!$C$2:$C$1048576,'Consultas x Gráficos'!$F$2)</f>
        <v>9934.4600000000009</v>
      </c>
      <c r="I6" t="s">
        <v>45</v>
      </c>
      <c r="J6" t="s">
        <v>42</v>
      </c>
      <c r="K6" t="s">
        <v>57</v>
      </c>
      <c r="M6" s="6" t="s">
        <v>64</v>
      </c>
      <c r="N6">
        <v>17</v>
      </c>
      <c r="Q6" s="13" t="s">
        <v>261</v>
      </c>
      <c r="R6" s="14">
        <v>39309.514500000005</v>
      </c>
      <c r="S6" s="14">
        <v>220186.94349999999</v>
      </c>
      <c r="U6" s="36" t="s">
        <v>19</v>
      </c>
      <c r="V6" s="34">
        <f>SUMIFS('Base de Dados'!J:J,'Base de Dados'!D:D,'Consultas x Gráficos'!U6,'Base de Dados'!C:C,'Consultas x Gráficos'!$W$3)</f>
        <v>53386.063500000004</v>
      </c>
      <c r="W6" s="40"/>
    </row>
    <row r="7" spans="1:25" ht="20" x14ac:dyDescent="0.4">
      <c r="A7" s="15" t="s">
        <v>253</v>
      </c>
      <c r="B7" s="19">
        <f>VLOOKUP($B$2,'Base de Dados'!$A$2:$K$201,10,0)</f>
        <v>2642.31</v>
      </c>
      <c r="D7" s="16" t="s">
        <v>34</v>
      </c>
      <c r="E7" s="16" t="s">
        <v>40</v>
      </c>
      <c r="F7" s="20">
        <f>SUMIFS('Base de Dados'!$J$2:$J$1048576,'Base de Dados'!$F$2:$F$1048576,'Consultas x Gráficos'!E7,'Base de Dados'!$D$2:$D$1048576,'Consultas x Gráficos'!D7,'Base de Dados'!$C$2:$C$1048576,'Consultas x Gráficos'!$F$2)</f>
        <v>0</v>
      </c>
      <c r="M7" s="6" t="s">
        <v>20</v>
      </c>
      <c r="N7">
        <v>19</v>
      </c>
      <c r="Q7" s="13" t="s">
        <v>262</v>
      </c>
      <c r="R7" s="14">
        <v>52435.958999999995</v>
      </c>
      <c r="S7" s="14">
        <v>136910.5325</v>
      </c>
      <c r="U7" s="36" t="s">
        <v>24</v>
      </c>
      <c r="V7" s="34">
        <f>SUMIFS('Base de Dados'!J:J,'Base de Dados'!D:D,'Consultas x Gráficos'!U7,'Base de Dados'!C:C,'Consultas x Gráficos'!$W$3)</f>
        <v>25932.548000000003</v>
      </c>
      <c r="W7" s="40"/>
    </row>
    <row r="8" spans="1:25" ht="20" x14ac:dyDescent="0.4">
      <c r="A8" s="15" t="s">
        <v>258</v>
      </c>
      <c r="B8" s="19" t="str">
        <f>IF(B7&lt;6000,"Pedido Pequeno",IF(B7&gt;10000,"Pedido Grande","Pedido Médio"))</f>
        <v>Pedido Pequeno</v>
      </c>
      <c r="D8" s="16" t="s">
        <v>42</v>
      </c>
      <c r="E8" s="16" t="s">
        <v>57</v>
      </c>
      <c r="F8" s="20">
        <f>SUMIFS('Base de Dados'!$J$2:$J$1048576,'Base de Dados'!$F$2:$F$1048576,'Consultas x Gráficos'!E8,'Base de Dados'!$D$2:$D$1048576,'Consultas x Gráficos'!D8,'Base de Dados'!$C$2:$C$1048576,'Consultas x Gráficos'!$F$2)</f>
        <v>3256.0964999999997</v>
      </c>
      <c r="M8" s="2" t="s">
        <v>66</v>
      </c>
      <c r="N8">
        <v>19</v>
      </c>
      <c r="Q8" s="13" t="s">
        <v>263</v>
      </c>
      <c r="R8" s="14">
        <v>70608.107499999998</v>
      </c>
      <c r="S8" s="14">
        <v>89346.897499999992</v>
      </c>
      <c r="U8" s="36" t="s">
        <v>34</v>
      </c>
      <c r="V8" s="34">
        <f>SUMIFS('Base de Dados'!J:J,'Base de Dados'!D:D,'Consultas x Gráficos'!U8,'Base de Dados'!C:C,'Consultas x Gráficos'!$W$3)</f>
        <v>55089.655499999993</v>
      </c>
      <c r="W8" s="40"/>
    </row>
    <row r="9" spans="1:25" ht="20" x14ac:dyDescent="0.4">
      <c r="M9" s="6" t="s">
        <v>35</v>
      </c>
      <c r="N9">
        <v>20</v>
      </c>
      <c r="Q9" s="13" t="s">
        <v>264</v>
      </c>
      <c r="R9" s="14">
        <v>31552.357</v>
      </c>
      <c r="S9" s="14">
        <v>72944.361999999994</v>
      </c>
      <c r="U9" s="36" t="s">
        <v>42</v>
      </c>
      <c r="V9" s="34">
        <f>SUMIFS('Base de Dados'!J:J,'Base de Dados'!D:D,'Consultas x Gráficos'!U9,'Base de Dados'!C:C,'Consultas x Gráficos'!$W$3)</f>
        <v>9716.003999999999</v>
      </c>
      <c r="W9" s="40"/>
    </row>
    <row r="10" spans="1:25" ht="20" hidden="1" x14ac:dyDescent="0.4">
      <c r="A10" s="50" t="s">
        <v>257</v>
      </c>
      <c r="B10" s="50"/>
      <c r="C10" s="50"/>
      <c r="M10" s="6" t="s">
        <v>28</v>
      </c>
      <c r="N10">
        <v>22</v>
      </c>
      <c r="Q10" s="13" t="s">
        <v>265</v>
      </c>
      <c r="R10" s="14">
        <v>79440.888999999996</v>
      </c>
      <c r="S10" s="14">
        <v>48721.36</v>
      </c>
      <c r="U10" s="40"/>
      <c r="V10" s="40"/>
      <c r="W10" s="40"/>
    </row>
    <row r="11" spans="1:25" ht="20" hidden="1" x14ac:dyDescent="0.4">
      <c r="A11" s="24" t="s">
        <v>3</v>
      </c>
      <c r="B11" s="24" t="s">
        <v>5</v>
      </c>
      <c r="C11" s="25" t="s">
        <v>259</v>
      </c>
      <c r="M11" s="2" t="s">
        <v>51</v>
      </c>
      <c r="N11">
        <v>22</v>
      </c>
      <c r="Q11" s="13" t="s">
        <v>266</v>
      </c>
      <c r="R11" s="14">
        <v>72486.904999999999</v>
      </c>
      <c r="S11" s="14"/>
      <c r="U11" s="40"/>
      <c r="V11" s="40"/>
      <c r="W11" s="40"/>
    </row>
    <row r="12" spans="1:25" ht="20" x14ac:dyDescent="0.4">
      <c r="A12" s="15" t="s">
        <v>42</v>
      </c>
      <c r="B12" s="15" t="s">
        <v>21</v>
      </c>
      <c r="C12" s="15">
        <f>COUNTIFS('Base de Dados'!D:D,'Consultas x Gráficos'!A12,'Base de Dados'!F:F,'Consultas x Gráficos'!B12)</f>
        <v>15</v>
      </c>
      <c r="M12" s="2" t="s">
        <v>14</v>
      </c>
      <c r="N12">
        <v>24</v>
      </c>
      <c r="Q12" s="13" t="s">
        <v>267</v>
      </c>
      <c r="R12" s="14">
        <v>58852.449500000002</v>
      </c>
      <c r="S12" s="14"/>
      <c r="U12" s="40"/>
      <c r="V12" s="40"/>
      <c r="W12" s="40"/>
    </row>
    <row r="13" spans="1:25" ht="20" x14ac:dyDescent="0.4">
      <c r="Q13" s="13" t="s">
        <v>268</v>
      </c>
      <c r="R13" s="14">
        <v>100908.973</v>
      </c>
      <c r="S13" s="14"/>
      <c r="U13" s="48" t="s">
        <v>273</v>
      </c>
      <c r="V13" s="48"/>
      <c r="W13" s="40"/>
    </row>
    <row r="14" spans="1:25" ht="20" x14ac:dyDescent="0.4">
      <c r="Q14" s="13" t="s">
        <v>269</v>
      </c>
      <c r="R14" s="14">
        <v>70044.422500000001</v>
      </c>
      <c r="S14" s="14"/>
      <c r="U14" s="37" t="s">
        <v>274</v>
      </c>
      <c r="V14" s="36" t="s">
        <v>53</v>
      </c>
      <c r="W14" s="40"/>
    </row>
    <row r="15" spans="1:25" ht="20" x14ac:dyDescent="0.4">
      <c r="Q15" s="13" t="s">
        <v>270</v>
      </c>
      <c r="R15" s="14">
        <v>35560.648500000003</v>
      </c>
      <c r="S15" s="14"/>
      <c r="U15" s="37" t="s">
        <v>4</v>
      </c>
      <c r="V15" s="38" t="str">
        <f>VLOOKUP($V$14,'Base de Dados'!$A$2:$K$201,5,0)</f>
        <v>Monitor LG 24"</v>
      </c>
      <c r="W15" s="40"/>
    </row>
    <row r="16" spans="1:25" ht="20" x14ac:dyDescent="0.4">
      <c r="Q16" s="13" t="s">
        <v>271</v>
      </c>
      <c r="R16" s="14">
        <v>90914.080500000011</v>
      </c>
      <c r="S16" s="14"/>
      <c r="U16" s="37" t="s">
        <v>5</v>
      </c>
      <c r="V16" s="38" t="str">
        <f>VLOOKUP($V$14,'Base de Dados'!$A$2:$K$201,6,0)</f>
        <v>Eletrônicos</v>
      </c>
      <c r="W16" s="40"/>
    </row>
    <row r="17" spans="3:23" ht="20" x14ac:dyDescent="0.4">
      <c r="H17" t="s">
        <v>23</v>
      </c>
      <c r="I17">
        <v>26</v>
      </c>
      <c r="J17" t="s">
        <v>23</v>
      </c>
      <c r="K17" s="26">
        <v>148347.5055</v>
      </c>
      <c r="U17" s="37" t="s">
        <v>2</v>
      </c>
      <c r="V17" s="38" t="str">
        <f>VLOOKUP($V$14,'Base de Dados'!$A$2:$K$201,3,0)</f>
        <v>Pedro Alves</v>
      </c>
      <c r="W17" s="40"/>
    </row>
    <row r="18" spans="3:23" ht="20" x14ac:dyDescent="0.4">
      <c r="H18" t="s">
        <v>45</v>
      </c>
      <c r="I18">
        <v>28</v>
      </c>
      <c r="J18" t="s">
        <v>45</v>
      </c>
      <c r="K18" s="26">
        <v>188663.66150000005</v>
      </c>
      <c r="U18" s="37" t="s">
        <v>3</v>
      </c>
      <c r="V18" s="38" t="str">
        <f>VLOOKUP($B$2,'Base de Dados'!$A$2:$K$201,4,0)</f>
        <v>Nordeste</v>
      </c>
      <c r="W18" s="40"/>
    </row>
    <row r="19" spans="3:23" ht="20" x14ac:dyDescent="0.4">
      <c r="H19" t="s">
        <v>62</v>
      </c>
      <c r="I19">
        <v>29</v>
      </c>
      <c r="J19" t="s">
        <v>62</v>
      </c>
      <c r="K19" s="26">
        <v>191125.75900000002</v>
      </c>
      <c r="U19" s="37" t="s">
        <v>258</v>
      </c>
      <c r="V19" s="35" t="str">
        <f>IF(V20&lt;6000,"Pedido Pequeno",IF(V20&gt;10000,"Pedido Grande","Pedido Médio"))</f>
        <v>Pedido Pequeno</v>
      </c>
      <c r="W19" s="40"/>
    </row>
    <row r="20" spans="3:23" ht="20" x14ac:dyDescent="0.4">
      <c r="C20" s="12" t="s">
        <v>242</v>
      </c>
      <c r="D20" t="s">
        <v>272</v>
      </c>
      <c r="H20" t="s">
        <v>33</v>
      </c>
      <c r="I20">
        <v>33</v>
      </c>
      <c r="J20" t="s">
        <v>18</v>
      </c>
      <c r="K20" s="26">
        <v>225899.90200000006</v>
      </c>
      <c r="U20" s="37" t="s">
        <v>253</v>
      </c>
      <c r="V20" s="35">
        <f>VLOOKUP($B$2,'Base de Dados'!$A$2:$K$201,10,0)</f>
        <v>2642.31</v>
      </c>
      <c r="W20" s="40"/>
    </row>
    <row r="21" spans="3:23" ht="20" x14ac:dyDescent="0.4">
      <c r="C21" s="13" t="s">
        <v>34</v>
      </c>
      <c r="D21" s="14">
        <v>27463.858</v>
      </c>
      <c r="H21" t="s">
        <v>18</v>
      </c>
      <c r="I21">
        <v>42</v>
      </c>
      <c r="J21" t="s">
        <v>12</v>
      </c>
      <c r="K21" s="26">
        <v>260929.61900000004</v>
      </c>
      <c r="U21" s="42" t="s">
        <v>10</v>
      </c>
      <c r="V21" s="40" t="str">
        <f>VLOOKUP(V14,'Base de Dados'!A:K,11,0)</f>
        <v>Concluído</v>
      </c>
    </row>
    <row r="22" spans="3:23" x14ac:dyDescent="0.35">
      <c r="C22" s="13" t="s">
        <v>24</v>
      </c>
      <c r="D22" s="14">
        <v>17488.249</v>
      </c>
      <c r="H22" t="s">
        <v>12</v>
      </c>
      <c r="I22">
        <v>42</v>
      </c>
      <c r="J22" t="s">
        <v>33</v>
      </c>
      <c r="K22" s="26">
        <v>318416.42299999995</v>
      </c>
    </row>
    <row r="23" spans="3:23" x14ac:dyDescent="0.35">
      <c r="C23" s="13" t="s">
        <v>19</v>
      </c>
      <c r="D23" s="14">
        <v>57651.74</v>
      </c>
    </row>
    <row r="24" spans="3:23" x14ac:dyDescent="0.35">
      <c r="C24" s="13" t="s">
        <v>13</v>
      </c>
      <c r="D24" s="14">
        <v>20870.103000000003</v>
      </c>
    </row>
    <row r="25" spans="3:23" x14ac:dyDescent="0.35">
      <c r="C25" s="13" t="s">
        <v>42</v>
      </c>
      <c r="D25" s="14">
        <v>24873.555499999999</v>
      </c>
    </row>
    <row r="26" spans="3:23" x14ac:dyDescent="0.35">
      <c r="C26" s="13" t="s">
        <v>243</v>
      </c>
      <c r="D26" s="14">
        <v>148347.5055</v>
      </c>
    </row>
  </sheetData>
  <sortState xmlns:xlrd2="http://schemas.microsoft.com/office/spreadsheetml/2017/richdata2" ref="J17:K22">
    <sortCondition ref="K17:K22"/>
  </sortState>
  <mergeCells count="7">
    <mergeCell ref="A1:B1"/>
    <mergeCell ref="D1:F1"/>
    <mergeCell ref="U13:V13"/>
    <mergeCell ref="U2:W2"/>
    <mergeCell ref="U3:V3"/>
    <mergeCell ref="A10:C10"/>
    <mergeCell ref="D2:E2"/>
  </mergeCells>
  <conditionalFormatting sqref="B3:B8">
    <cfRule type="expression" dxfId="10" priority="30">
      <formula>$B$3="Pendente"</formula>
    </cfRule>
    <cfRule type="expression" dxfId="9" priority="31">
      <formula>$B$3="Concluído"</formula>
    </cfRule>
    <cfRule type="expression" dxfId="8" priority="32">
      <formula>$B$3="Cancelado"</formula>
    </cfRule>
  </conditionalFormatting>
  <conditionalFormatting sqref="M1:M12">
    <cfRule type="expression" dxfId="7" priority="15">
      <formula>$K1="Pendente"</formula>
    </cfRule>
    <cfRule type="expression" dxfId="6" priority="16">
      <formula>$K1="Concluído"</formula>
    </cfRule>
    <cfRule type="expression" dxfId="5" priority="17">
      <formula>$K1="Cancelado"</formula>
    </cfRule>
  </conditionalFormatting>
  <conditionalFormatting sqref="V15:V20">
    <cfRule type="expression" dxfId="4" priority="3">
      <formula>$B$3="Pendente"</formula>
    </cfRule>
    <cfRule type="expression" dxfId="3" priority="4">
      <formula>$B$3="Concluído"</formula>
    </cfRule>
    <cfRule type="expression" dxfId="2" priority="5">
      <formula>$B$3="Cancelado"</formula>
    </cfRule>
  </conditionalFormatting>
  <conditionalFormatting sqref="V21">
    <cfRule type="expression" dxfId="1" priority="1">
      <formula>$V$21="Concluído"</formula>
    </cfRule>
    <cfRule type="expression" dxfId="0" priority="2">
      <formula>$V$21="Cancelado"</formula>
    </cfRule>
  </conditionalFormatting>
  <dataValidations count="3">
    <dataValidation type="list" allowBlank="1" showInputMessage="1" showErrorMessage="1" errorTitle="Vendedor Inválido" error="Este vendedor não se encontra na base de dados._x000a_" sqref="F2 W3" xr:uid="{53A956B1-6FAA-4B8E-B698-E43381FF1523}">
      <formula1>$I$1:$I$6</formula1>
    </dataValidation>
    <dataValidation type="list" allowBlank="1" showInputMessage="1" showErrorMessage="1" sqref="A12" xr:uid="{E65C1E91-877F-4835-89CF-4E008B99B93D}">
      <formula1>$J$2:$J$6</formula1>
    </dataValidation>
    <dataValidation type="list" allowBlank="1" showInputMessage="1" showErrorMessage="1" sqref="B12" xr:uid="{13B906CA-23CC-4CDC-8B51-C8A68EF6A7EB}">
      <formula1>$K$2:$K$6</formula1>
    </dataValidation>
  </dataValidations>
  <pageMargins left="0.511811024" right="0.511811024" top="0.78740157499999996" bottom="0.78740157499999996" header="0.31496062000000002" footer="0.31496062000000002"/>
  <drawing r:id="rId3"/>
  <legacyDrawing r:id="rId4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ID inválido" error="O ID digitado não consta na base de dados." xr:uid="{E35EEBF4-2BF2-45B6-BB54-2563DFEFB117}">
          <x14:formula1>
            <xm:f>'Base de Dados'!$A$2:$A$1048576</xm:f>
          </x14:formula1>
          <xm:sqref>B2 V14</xm:sqref>
        </x14:dataValidation>
      </x14:dataValidations>
    </ex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5D992C-38C9-40D1-93CC-992AA5BF4172}">
  <dimension ref="B3:BH16"/>
  <sheetViews>
    <sheetView showGridLines="0" showRowColHeaders="0" tabSelected="1" topLeftCell="A11" zoomScale="29" zoomScaleNormal="29" workbookViewId="0">
      <selection activeCell="BP40" sqref="BP40"/>
    </sheetView>
  </sheetViews>
  <sheetFormatPr defaultRowHeight="14.5" x14ac:dyDescent="0.35"/>
  <cols>
    <col min="1" max="1" width="5.1796875" style="41" customWidth="1"/>
    <col min="2" max="16384" width="8.7265625" style="41"/>
  </cols>
  <sheetData>
    <row r="3" spans="2:60" x14ac:dyDescent="0.35">
      <c r="B3" s="53"/>
      <c r="C3" s="53"/>
      <c r="D3" s="53"/>
      <c r="E3" s="53"/>
      <c r="G3" s="53"/>
      <c r="H3" s="53"/>
      <c r="I3" s="53"/>
      <c r="J3" s="53"/>
      <c r="L3" s="53"/>
      <c r="M3" s="53"/>
      <c r="N3" s="53"/>
      <c r="O3" s="53"/>
      <c r="Q3" s="54"/>
      <c r="R3" s="54"/>
      <c r="S3" s="54"/>
      <c r="T3" s="54"/>
    </row>
    <row r="4" spans="2:60" x14ac:dyDescent="0.35">
      <c r="B4" s="53"/>
      <c r="C4" s="53"/>
      <c r="D4" s="53"/>
      <c r="E4" s="53"/>
      <c r="G4" s="53"/>
      <c r="H4" s="53"/>
      <c r="I4" s="53"/>
      <c r="J4" s="53"/>
      <c r="L4" s="53"/>
      <c r="M4" s="53"/>
      <c r="N4" s="53"/>
      <c r="O4" s="53"/>
      <c r="Q4" s="54"/>
      <c r="R4" s="54"/>
      <c r="S4" s="54"/>
      <c r="T4" s="54"/>
    </row>
    <row r="5" spans="2:60" ht="14.5" customHeight="1" x14ac:dyDescent="0.6">
      <c r="B5" s="43"/>
      <c r="C5" s="43"/>
      <c r="D5" s="55" t="s">
        <v>279</v>
      </c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Q5" s="44"/>
      <c r="R5" s="44"/>
      <c r="S5" s="56" t="s">
        <v>280</v>
      </c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H5" s="56" t="s">
        <v>281</v>
      </c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W5" s="57" t="s">
        <v>282</v>
      </c>
      <c r="AX5" s="57"/>
      <c r="AY5" s="57"/>
      <c r="AZ5" s="57"/>
      <c r="BA5" s="57"/>
      <c r="BB5" s="57"/>
      <c r="BC5" s="57"/>
      <c r="BD5" s="57"/>
      <c r="BE5" s="57"/>
      <c r="BF5" s="57"/>
      <c r="BG5" s="57"/>
      <c r="BH5" s="57"/>
    </row>
    <row r="6" spans="2:60" ht="14.5" customHeight="1" x14ac:dyDescent="0.6">
      <c r="B6" s="43"/>
      <c r="C6" s="43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Q6" s="44"/>
      <c r="R6" s="44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W6" s="57"/>
      <c r="AX6" s="57"/>
      <c r="AY6" s="57"/>
      <c r="AZ6" s="57"/>
      <c r="BA6" s="57"/>
      <c r="BB6" s="57"/>
      <c r="BC6" s="57"/>
      <c r="BD6" s="57"/>
      <c r="BE6" s="57"/>
      <c r="BF6" s="57"/>
      <c r="BG6" s="57"/>
      <c r="BH6" s="57"/>
    </row>
    <row r="7" spans="2:60" ht="14.5" customHeight="1" x14ac:dyDescent="0.6">
      <c r="B7" s="43"/>
      <c r="C7" s="43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Q7" s="44"/>
      <c r="R7" s="44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W7" s="57"/>
      <c r="AX7" s="57"/>
      <c r="AY7" s="57"/>
      <c r="AZ7" s="57"/>
      <c r="BA7" s="57"/>
      <c r="BB7" s="57"/>
      <c r="BC7" s="57"/>
      <c r="BD7" s="57"/>
      <c r="BE7" s="57"/>
      <c r="BF7" s="57"/>
      <c r="BG7" s="57"/>
      <c r="BH7" s="57"/>
    </row>
    <row r="8" spans="2:60" ht="14.5" customHeight="1" x14ac:dyDescent="0.6"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Q8" s="44"/>
      <c r="R8" s="44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W8" s="57"/>
      <c r="AX8" s="57"/>
      <c r="AY8" s="57"/>
      <c r="AZ8" s="57"/>
      <c r="BA8" s="57"/>
      <c r="BB8" s="57"/>
      <c r="BC8" s="57"/>
      <c r="BD8" s="57"/>
      <c r="BE8" s="57"/>
      <c r="BF8" s="57"/>
      <c r="BG8" s="57"/>
      <c r="BH8" s="57"/>
    </row>
    <row r="9" spans="2:60" ht="14.5" customHeight="1" x14ac:dyDescent="0.6"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Q9" s="44"/>
      <c r="R9" s="44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W9" s="57"/>
      <c r="AX9" s="57"/>
      <c r="AY9" s="57"/>
      <c r="AZ9" s="57"/>
      <c r="BA9" s="57"/>
      <c r="BB9" s="57"/>
      <c r="BC9" s="57"/>
      <c r="BD9" s="57"/>
      <c r="BE9" s="57"/>
      <c r="BF9" s="57"/>
      <c r="BG9" s="57"/>
      <c r="BH9" s="57"/>
    </row>
    <row r="10" spans="2:60" ht="14.5" customHeight="1" x14ac:dyDescent="0.6">
      <c r="D10" s="55">
        <f>SUMIFS('Base de Dados'!J:J,'Base de Dados'!K:K,"Concluído")</f>
        <v>910377.05449999962</v>
      </c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Q10" s="44"/>
      <c r="R10" s="44"/>
      <c r="S10" s="55">
        <f>SUMIFS('Base de Dados'!J:J,'Base de Dados'!K:K,"Concluído")/COUNTIF('Base de Dados'!K:K,"Concluído")</f>
        <v>7002.9004192307666</v>
      </c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H10" s="56">
        <f>COUNTIF('Base de Dados'!K:K,"Concluído")</f>
        <v>130</v>
      </c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W10" s="58">
        <f>COUNTIF('Base de Dados'!K:K,"Cancelado")/COUNTA('Base de Dados'!K:K)</f>
        <v>0.1890547263681592</v>
      </c>
      <c r="AX10" s="58"/>
      <c r="AY10" s="58"/>
      <c r="AZ10" s="58"/>
      <c r="BA10" s="58"/>
      <c r="BB10" s="58"/>
      <c r="BC10" s="58"/>
      <c r="BD10" s="58"/>
      <c r="BE10" s="58"/>
      <c r="BF10" s="58"/>
      <c r="BG10" s="58"/>
      <c r="BH10" s="58"/>
    </row>
    <row r="11" spans="2:60" ht="14.5" customHeight="1" x14ac:dyDescent="0.6"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Q11" s="44"/>
      <c r="R11" s="44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W11" s="58"/>
      <c r="AX11" s="58"/>
      <c r="AY11" s="58"/>
      <c r="AZ11" s="58"/>
      <c r="BA11" s="58"/>
      <c r="BB11" s="58"/>
      <c r="BC11" s="58"/>
      <c r="BD11" s="58"/>
      <c r="BE11" s="58"/>
      <c r="BF11" s="58"/>
      <c r="BG11" s="58"/>
      <c r="BH11" s="58"/>
    </row>
    <row r="12" spans="2:60" ht="14.5" customHeight="1" x14ac:dyDescent="0.6"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Q12" s="44"/>
      <c r="R12" s="44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W12" s="58"/>
      <c r="AX12" s="58"/>
      <c r="AY12" s="58"/>
      <c r="AZ12" s="58"/>
      <c r="BA12" s="58"/>
      <c r="BB12" s="58"/>
      <c r="BC12" s="58"/>
      <c r="BD12" s="58"/>
      <c r="BE12" s="58"/>
      <c r="BF12" s="58"/>
      <c r="BG12" s="58"/>
      <c r="BH12" s="58"/>
    </row>
    <row r="13" spans="2:60" ht="14.5" customHeight="1" x14ac:dyDescent="0.6"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Q13" s="44"/>
      <c r="R13" s="44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W13" s="58"/>
      <c r="AX13" s="58"/>
      <c r="AY13" s="58"/>
      <c r="AZ13" s="58"/>
      <c r="BA13" s="58"/>
      <c r="BB13" s="58"/>
      <c r="BC13" s="58"/>
      <c r="BD13" s="58"/>
      <c r="BE13" s="58"/>
      <c r="BF13" s="58"/>
      <c r="BG13" s="58"/>
      <c r="BH13" s="58"/>
    </row>
    <row r="14" spans="2:60" ht="14.5" customHeight="1" x14ac:dyDescent="0.6"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Q14" s="44"/>
      <c r="R14" s="44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W14" s="58"/>
      <c r="AX14" s="58"/>
      <c r="AY14" s="58"/>
      <c r="AZ14" s="58"/>
      <c r="BA14" s="58"/>
      <c r="BB14" s="58"/>
      <c r="BC14" s="58"/>
      <c r="BD14" s="58"/>
      <c r="BE14" s="58"/>
      <c r="BF14" s="58"/>
      <c r="BG14" s="58"/>
      <c r="BH14" s="58"/>
    </row>
    <row r="15" spans="2:60" ht="14.5" customHeight="1" x14ac:dyDescent="0.6"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Q15" s="44"/>
      <c r="R15" s="44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W15" s="58"/>
      <c r="AX15" s="58"/>
      <c r="AY15" s="58"/>
      <c r="AZ15" s="58"/>
      <c r="BA15" s="58"/>
      <c r="BB15" s="58"/>
      <c r="BC15" s="58"/>
      <c r="BD15" s="58"/>
      <c r="BE15" s="58"/>
      <c r="BF15" s="58"/>
      <c r="BG15" s="58"/>
      <c r="BH15" s="58"/>
    </row>
    <row r="16" spans="2:60" ht="14.5" customHeight="1" x14ac:dyDescent="0.6"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Q16" s="44"/>
      <c r="R16" s="44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W16" s="58"/>
      <c r="AX16" s="58"/>
      <c r="AY16" s="58"/>
      <c r="AZ16" s="58"/>
      <c r="BA16" s="58"/>
      <c r="BB16" s="58"/>
      <c r="BC16" s="58"/>
      <c r="BD16" s="58"/>
      <c r="BE16" s="58"/>
      <c r="BF16" s="58"/>
      <c r="BG16" s="58"/>
      <c r="BH16" s="58"/>
    </row>
  </sheetData>
  <mergeCells count="12">
    <mergeCell ref="AW10:BH16"/>
    <mergeCell ref="G3:J4"/>
    <mergeCell ref="L3:O4"/>
    <mergeCell ref="Q3:T4"/>
    <mergeCell ref="B3:E4"/>
    <mergeCell ref="D10:O16"/>
    <mergeCell ref="D5:O9"/>
    <mergeCell ref="S10:AD16"/>
    <mergeCell ref="S5:AD9"/>
    <mergeCell ref="AH5:AS9"/>
    <mergeCell ref="AW5:BH9"/>
    <mergeCell ref="AH10:AS16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Base de Dados</vt:lpstr>
      <vt:lpstr>Tabelas Dinâmicas (Bruto)</vt:lpstr>
      <vt:lpstr>Consultas x Gráficos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Natan Nascimento</cp:lastModifiedBy>
  <cp:revision>0</cp:revision>
  <dcterms:created xsi:type="dcterms:W3CDTF">2026-03-16T17:54:43Z</dcterms:created>
  <dcterms:modified xsi:type="dcterms:W3CDTF">2026-03-19T02:45:22Z</dcterms:modified>
  <dc:language>en-US</dc:language>
</cp:coreProperties>
</file>